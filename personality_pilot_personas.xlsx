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glenn/Downloads/"/>
    </mc:Choice>
  </mc:AlternateContent>
  <xr:revisionPtr revIDLastSave="0" documentId="13_ncr:1_{07566E4A-4B68-C84E-AE41-D37B3F8A73A3}" xr6:coauthVersionLast="47" xr6:coauthVersionMax="47" xr10:uidLastSave="{00000000-0000-0000-0000-000000000000}"/>
  <bookViews>
    <workbookView xWindow="0" yWindow="660" windowWidth="30240" windowHeight="17400" tabRatio="500" xr2:uid="{00000000-000D-0000-FFFF-FFFF00000000}"/>
  </bookViews>
  <sheets>
    <sheet name="Pilot Personas" sheetId="1" r:id="rId1"/>
    <sheet name="Structure &amp; Contrasts" sheetId="2" r:id="rId2"/>
    <sheet name="Prompt Style Notes" sheetId="4" r:id="rId3"/>
    <sheet name="WebOrganizer Taxonomy" sheetId="5"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4" i="2" l="1"/>
  <c r="B23" i="2"/>
  <c r="B22" i="2"/>
  <c r="B21" i="2"/>
  <c r="B20" i="2"/>
  <c r="B19" i="2"/>
  <c r="B18" i="2"/>
  <c r="B25" i="2" s="1"/>
  <c r="C25" i="2" s="1"/>
  <c r="C7" i="2"/>
  <c r="B7" i="2"/>
  <c r="D7" i="2" s="1"/>
  <c r="D6" i="2"/>
  <c r="D5" i="2"/>
  <c r="C19" i="2" l="1"/>
  <c r="C20" i="2"/>
  <c r="C21" i="2"/>
  <c r="C22" i="2"/>
  <c r="C23" i="2"/>
  <c r="C24" i="2"/>
  <c r="C18" i="2"/>
</calcChain>
</file>

<file path=xl/sharedStrings.xml><?xml version="1.0" encoding="utf-8"?>
<sst xmlns="http://schemas.openxmlformats.org/spreadsheetml/2006/main" count="710" uniqueCount="530">
  <si>
    <t>Verified against actual persona JSON dataset. Prompt Style column captures a MAJOR structural dimension: 68 of 279 personas in the pool use O*NET-style occupational framing; 211 use archetypal/poetic framing. Mixing these is a confound for RQ2 unless explicitly controlled. O*NET Concept column shows the committed interpretation from the dataset — several are narrower than the common meaning.</t>
  </si>
  <si>
    <t>ID</t>
  </si>
  <si>
    <t>Persona</t>
  </si>
  <si>
    <t>Tier</t>
  </si>
  <si>
    <t>Prompt Style</t>
  </si>
  <si>
    <t>O*NET Concept / Archetype Label</t>
  </si>
  <si>
    <t>Cluster (RQ1)</t>
  </si>
  <si>
    <t>Primary Topics (expected)</t>
  </si>
  <si>
    <t>Primary Formats (expected)</t>
  </si>
  <si>
    <t>Contrast Group</t>
  </si>
  <si>
    <t>Notes / v4 corrections</t>
  </si>
  <si>
    <t>PP-01</t>
  </si>
  <si>
    <t>actor</t>
  </si>
  <si>
    <t>Human — O*NET professional</t>
  </si>
  <si>
    <t>O*NET</t>
  </si>
  <si>
    <t>Actors</t>
  </si>
  <si>
    <t>Performing</t>
  </si>
  <si>
    <t>Entertainment</t>
  </si>
  <si>
    <t>Audio Transcript, Creative Writing, About (Pers.)</t>
  </si>
  <si>
    <t>Performing (with musician)</t>
  </si>
  <si>
    <t>Celebrity/interview register; strong Audio Transcript signal.</t>
  </si>
  <si>
    <t>PP-02</t>
  </si>
  <si>
    <t>musician</t>
  </si>
  <si>
    <t>Musicians and Singers</t>
  </si>
  <si>
    <t>Entertainment, Art &amp; Design</t>
  </si>
  <si>
    <t>Performing (with actor)</t>
  </si>
  <si>
    <t>Near-twin to actor in Entertainment; resolution-limit test.</t>
  </si>
  <si>
    <t>PP-03</t>
  </si>
  <si>
    <t>doctor</t>
  </si>
  <si>
    <t>Family Medicine Physicians</t>
  </si>
  <si>
    <t>Medical</t>
  </si>
  <si>
    <t>Health</t>
  </si>
  <si>
    <t>Academic Writing, Knowledge Article, FAQ</t>
  </si>
  <si>
    <t>Medical (with psychologist, veterinarian, nutritionist)</t>
  </si>
  <si>
    <t>Narrow: Family Medicine specifically (not surgeon/specialist). Personal Blog secondary.</t>
  </si>
  <si>
    <t>PP-04</t>
  </si>
  <si>
    <t>psychologist</t>
  </si>
  <si>
    <t>Clinical and Counseling Psychologists</t>
  </si>
  <si>
    <t>Health, Education &amp; Jobs</t>
  </si>
  <si>
    <t>Academic Writing, Knowledge Article, Personal Blog</t>
  </si>
  <si>
    <t>Medical (with doctor, veterinarian, nutritionist)</t>
  </si>
  <si>
    <t>Narrow: Clinical/Counseling (not research/academic psych). Q&amp;A Forum secondary.</t>
  </si>
  <si>
    <t>PP-05</t>
  </si>
  <si>
    <t>veterinarian</t>
  </si>
  <si>
    <t>Veterinarians</t>
  </si>
  <si>
    <t>Health, Science &amp; Tech.</t>
  </si>
  <si>
    <t>Knowledge Article, FAQ, Personal Blog</t>
  </si>
  <si>
    <t>Medical (with doctor, psychologist, nutritionist)</t>
  </si>
  <si>
    <t>Health + non-human animal focus; pairs well with tree/whale on biology side.</t>
  </si>
  <si>
    <t>PP-06</t>
  </si>
  <si>
    <t>nutritionist</t>
  </si>
  <si>
    <t>Dietitians and Nutritionists</t>
  </si>
  <si>
    <t>Health, Food &amp; Dining</t>
  </si>
  <si>
    <t>Knowledge Article, FAQ, Listicle</t>
  </si>
  <si>
    <t>Medical (with doctor, psychologist, veterinarian)</t>
  </si>
  <si>
    <t>NEW in v4. Bridges Medical and Food &amp; Dining (pairs with chef on food side).</t>
  </si>
  <si>
    <t>PP-07</t>
  </si>
  <si>
    <t>lawyer</t>
  </si>
  <si>
    <t>Lawyers</t>
  </si>
  <si>
    <t>Legal</t>
  </si>
  <si>
    <t>Crime &amp; Law</t>
  </si>
  <si>
    <t>Legal Notices, Academic Writing, News Article</t>
  </si>
  <si>
    <t>Legal (with judge, detective)</t>
  </si>
  <si>
    <t>Canonical RQ1 example.</t>
  </si>
  <si>
    <t>PP-08</t>
  </si>
  <si>
    <t>judge</t>
  </si>
  <si>
    <t>Judges, Magistrate Judges, and Magistrates</t>
  </si>
  <si>
    <t>Crime &amp; Law, Politics</t>
  </si>
  <si>
    <t>Legal (with lawyer, detective)</t>
  </si>
  <si>
    <t>Legal judge (concept explicitly 'Judges, Magistrate Judges, and Magistrates' — not sports judge).</t>
  </si>
  <si>
    <t>PP-09</t>
  </si>
  <si>
    <t>detective</t>
  </si>
  <si>
    <t>Detectives and Criminal Investigators</t>
  </si>
  <si>
    <t>News Article, Knowledge Article, Nonfiction Writing</t>
  </si>
  <si>
    <t>Legal (with lawyer, judge)</t>
  </si>
  <si>
    <t>Law enforcement (not PI or fictional). Fiction leakage vs. procedural content is a research finding.</t>
  </si>
  <si>
    <t>PP-10</t>
  </si>
  <si>
    <t>teacher</t>
  </si>
  <si>
    <t>Secondary School Teachers, Except Special and Career/Technical Education</t>
  </si>
  <si>
    <t>Knowledge</t>
  </si>
  <si>
    <t>Education &amp; Jobs</t>
  </si>
  <si>
    <t>Knowledge Article, Tutorial, Academic Writing</t>
  </si>
  <si>
    <t>Knowledge (with librarian, historian, naturalist)</t>
  </si>
  <si>
    <t>Narrow: Secondary school specifically (not elementary, university, SPED, or career/tech).</t>
  </si>
  <si>
    <t>PP-11</t>
  </si>
  <si>
    <t>librarian</t>
  </si>
  <si>
    <t>Librarians and Media Collections Specialists</t>
  </si>
  <si>
    <t>Education &amp; Jobs, Literature</t>
  </si>
  <si>
    <t>Knowledge Article, Personal Blog, Academic Writing</t>
  </si>
  <si>
    <t>Knowledge (with teacher, historian, naturalist)</t>
  </si>
  <si>
    <t>Broader than books: includes media collections. Literature topic anchor.</t>
  </si>
  <si>
    <t>PP-12</t>
  </si>
  <si>
    <t>historian</t>
  </si>
  <si>
    <t>Historians</t>
  </si>
  <si>
    <t>History, Education &amp; Jobs</t>
  </si>
  <si>
    <t>Academic Writing, Nonfiction Writing, News Article</t>
  </si>
  <si>
    <t>Knowledge (with teacher, librarian, naturalist)</t>
  </si>
  <si>
    <t>Primary History topic anchor.</t>
  </si>
  <si>
    <t>PP-13</t>
  </si>
  <si>
    <t>naturalist</t>
  </si>
  <si>
    <t>Park Naturalists</t>
  </si>
  <si>
    <t>Science &amp; Tech., Travel</t>
  </si>
  <si>
    <t>Knowledge Article, About (Org.), Nonfiction Writing</t>
  </si>
  <si>
    <t>Knowledge (with teacher, librarian, historian)</t>
  </si>
  <si>
    <t>CORRECTED in v4: Park Naturalists specifically (park ranger educator, not academic biologist). Adds Travel + About (Org.).</t>
  </si>
  <si>
    <t>PP-14</t>
  </si>
  <si>
    <t>programmer</t>
  </si>
  <si>
    <t>Computer Programmers</t>
  </si>
  <si>
    <t>Technical</t>
  </si>
  <si>
    <t>Software Dev., Software</t>
  </si>
  <si>
    <t>Documentation, Q&amp;A Forum, Tutorial</t>
  </si>
  <si>
    <t>Technical (with chemist, mechanic, pilot)</t>
  </si>
  <si>
    <t>Note: O*NET 'Computer Programmers' is distinct from 'Software Developers' (which isn't in this dataset).</t>
  </si>
  <si>
    <t>PP-15</t>
  </si>
  <si>
    <t>chemist</t>
  </si>
  <si>
    <t>Chemists</t>
  </si>
  <si>
    <t>Science &amp; Tech.</t>
  </si>
  <si>
    <t>Academic Writing, Knowledge Article, Tutorial</t>
  </si>
  <si>
    <t>Technical (with programmer, mechanic, pilot)</t>
  </si>
  <si>
    <t>Academic Writing dominant; awkward fit in Technical cluster (more pure-Science than pilot/mechanic).</t>
  </si>
  <si>
    <t>PP-16</t>
  </si>
  <si>
    <t>mechanic</t>
  </si>
  <si>
    <t>Automotive Service Technicians and Mechanics</t>
  </si>
  <si>
    <t>Transportation, Hardware</t>
  </si>
  <si>
    <t>Tutorial, Q&amp;A Forum, FAQ</t>
  </si>
  <si>
    <t>Technical (with programmer, chemist, pilot)</t>
  </si>
  <si>
    <t>Narrow: Automotive specifically (not industrial/aerospace). Product Page secondary (parts/tools).</t>
  </si>
  <si>
    <t>PP-17</t>
  </si>
  <si>
    <t>pilot</t>
  </si>
  <si>
    <t>Airline Pilots, Copilots, and Flight Engineers</t>
  </si>
  <si>
    <t>Transportation</t>
  </si>
  <si>
    <t>Knowledge Article, Tutorial, About (Pers.)</t>
  </si>
  <si>
    <t>Technical (with programmer, chemist, mechanic)</t>
  </si>
  <si>
    <t>Commercial aviation (not military, not test pilot).</t>
  </si>
  <si>
    <t>PP-18</t>
  </si>
  <si>
    <t>chef</t>
  </si>
  <si>
    <t>Chefs and Head Cooks</t>
  </si>
  <si>
    <t>Service</t>
  </si>
  <si>
    <t>Food &amp; Dining</t>
  </si>
  <si>
    <t>Tutorial, Personal Blog, Knowledge Article</t>
  </si>
  <si>
    <t>Service (with caregiver, dispatcher)</t>
  </si>
  <si>
    <t>Exclusive Food &amp; Dining topic coverage.</t>
  </si>
  <si>
    <t>PP-19</t>
  </si>
  <si>
    <t>caregiver</t>
  </si>
  <si>
    <t>Personal Care Aides</t>
  </si>
  <si>
    <t>Health, Social Life</t>
  </si>
  <si>
    <t>FAQ, Knowledge Article, Q&amp;A Forum</t>
  </si>
  <si>
    <t>Service (with chef, dispatcher)</t>
  </si>
  <si>
    <t>CORRECTED in v4: Personal Care Aides specifically (not nurse, not family caregiver). Expected Personal Blog DOWN vs. previous; FAQ/Tutorial UP.</t>
  </si>
  <si>
    <t>PP-20</t>
  </si>
  <si>
    <t>dispatcher</t>
  </si>
  <si>
    <t>Dispatchers, Except Police, Fire, and Ambulance</t>
  </si>
  <si>
    <t>Transportation, Industrial, Finance &amp; Business</t>
  </si>
  <si>
    <t>Customer Support, About (Org.), Documentation</t>
  </si>
  <si>
    <t>Service (with chef, caregiver)</t>
  </si>
  <si>
    <t>CORRECTED in v4: O*NET concept EXPLICITLY EXCLUDES emergency dispatch. This is utility/trucking/taxi/crew logistics. Crime &amp; Law topic prediction REMOVED. Reclassified from public safety to service/logistics.</t>
  </si>
  <si>
    <t>PP-21</t>
  </si>
  <si>
    <t>economist</t>
  </si>
  <si>
    <t>Economists</t>
  </si>
  <si>
    <t>Business</t>
  </si>
  <si>
    <t>Finance &amp; Business, Politics</t>
  </si>
  <si>
    <t>Academic Writing, News Article, Nonfiction Writing</t>
  </si>
  <si>
    <t>Business (with recruiter, analyst, accountant)</t>
  </si>
  <si>
    <t>Academic/policy register.</t>
  </si>
  <si>
    <t>PP-22</t>
  </si>
  <si>
    <t>recruiter</t>
  </si>
  <si>
    <t>Human Resources Specialists</t>
  </si>
  <si>
    <t>Education &amp; Jobs, Finance &amp; Business</t>
  </si>
  <si>
    <t>Listicle, Knowledge Article, About (Org.)</t>
  </si>
  <si>
    <t>Business (with economist, analyst, accountant)</t>
  </si>
  <si>
    <t>Broader than recruiting: HR generalist (training, benefits, compliance).</t>
  </si>
  <si>
    <t>PP-23</t>
  </si>
  <si>
    <t>analyst</t>
  </si>
  <si>
    <t>Business Intelligence Analysts</t>
  </si>
  <si>
    <t>Finance &amp; Business</t>
  </si>
  <si>
    <t>Documentation, Knowledge Article, Academic Writing</t>
  </si>
  <si>
    <t>Business (with economist, recruiter, accountant)</t>
  </si>
  <si>
    <t>CORRECTED in v4: Business Intelligence (data/market), not Financial Analyst. Documentation format UP; Academic Writing DOWN vs. previous.</t>
  </si>
  <si>
    <t>PP-24</t>
  </si>
  <si>
    <t>accountant</t>
  </si>
  <si>
    <t>Accountants and Auditors</t>
  </si>
  <si>
    <t>Academic Writing, Knowledge Article, Legal Notices</t>
  </si>
  <si>
    <t>Business (with economist, recruiter, analyst)</t>
  </si>
  <si>
    <t>NEW in v4. Accountant + auditor combined (O*NET groups them). Legal Notices secondary (audit/tax).</t>
  </si>
  <si>
    <t>PP-25</t>
  </si>
  <si>
    <t>designer</t>
  </si>
  <si>
    <t>Graphic Designers</t>
  </si>
  <si>
    <t>Design</t>
  </si>
  <si>
    <t>Art &amp; Design</t>
  </si>
  <si>
    <t>Personal Blog, Tutorial, Knowledge Article</t>
  </si>
  <si>
    <t>Design (with architect)</t>
  </si>
  <si>
    <t>Graphic designer specifically (not UX/fashion/industrial).</t>
  </si>
  <si>
    <t>PP-26</t>
  </si>
  <si>
    <t>architect</t>
  </si>
  <si>
    <t>Architects, Except Landscape and Naval</t>
  </si>
  <si>
    <t>Art &amp; Design, Home &amp; Hobbies</t>
  </si>
  <si>
    <t>Knowledge Article, Academic Writing, Tutorial</t>
  </si>
  <si>
    <t>Design (with designer)</t>
  </si>
  <si>
    <t>NEW in v4. Building architects (not landscape, not naval). Home &amp; Hobbies reflects residential design content.</t>
  </si>
  <si>
    <t>PP-27</t>
  </si>
  <si>
    <t>paramedic</t>
  </si>
  <si>
    <t>Archetypal human — professional archetype</t>
  </si>
  <si>
    <t>Archetypal</t>
  </si>
  <si>
    <t>Archetypal — professional</t>
  </si>
  <si>
    <t>Creative Writing, Personal Blog, Knowledge Article</t>
  </si>
  <si>
    <t>Archetypal-human style-control group (with soldier, entrepreneur, hacker)</t>
  </si>
  <si>
    <t>RECLASSIFIED in v4. Archetypal prompt style ("mobile steward of possibility"). Expected domain partially contaminated by poetic-prompt register.</t>
  </si>
  <si>
    <t>PP-28</t>
  </si>
  <si>
    <t>soldier</t>
  </si>
  <si>
    <t>Politics, History</t>
  </si>
  <si>
    <t>Creative Writing, Personal Blog, Nonfiction Writing</t>
  </si>
  <si>
    <t>Archetypal-human style-control group (with paramedic, entrepreneur, hacker)</t>
  </si>
  <si>
    <t>RECLASSIFIED in v4. Archetypal style ("living conduit through which collective will materializes"). Memoir/narrative register.</t>
  </si>
  <si>
    <t>PP-29</t>
  </si>
  <si>
    <t>entrepreneur</t>
  </si>
  <si>
    <t>Personal Blog, About (Pers.), Creative Writing</t>
  </si>
  <si>
    <t>Archetypal-human style-control group (with paramedic, soldier, hacker)</t>
  </si>
  <si>
    <t>RECLASSIFIED in v4. Archetypal style ("steward of latent possibility"). Personal-forward register amplified by poetic framing.</t>
  </si>
  <si>
    <t>PP-30</t>
  </si>
  <si>
    <t>hacker</t>
  </si>
  <si>
    <t>Software Dev., Crime &amp; Law</t>
  </si>
  <si>
    <t>Creative Writing, Q&amp;A Forum, News Article</t>
  </si>
  <si>
    <t>Archetypal-human style-control group (with paramedic, soldier, entrepreneur)</t>
  </si>
  <si>
    <t>RECLASSIFIED in v4. Archetypal framing ("cartographer of invisible architectures") does NOT commit to cybersecurity vs. black-hat. Interpretation remains open.</t>
  </si>
  <si>
    <t>PP-31</t>
  </si>
  <si>
    <t>infant</t>
  </si>
  <si>
    <t>Archetypal human — developmental</t>
  </si>
  <si>
    <t>Developmental</t>
  </si>
  <si>
    <t>Health, Home &amp; Hobbies</t>
  </si>
  <si>
    <t>Personal Blog, FAQ, Knowledge Article</t>
  </si>
  <si>
    <t>Developmental (with teenager, elder, retiree)</t>
  </si>
  <si>
    <t>Archetypal: "living edge where consciousness meets embodiment."</t>
  </si>
  <si>
    <t>PP-32</t>
  </si>
  <si>
    <t>teenager</t>
  </si>
  <si>
    <t>Social Life, Education &amp; Jobs</t>
  </si>
  <si>
    <t>Personal Blog, Comment Section, Q&amp;A Forum</t>
  </si>
  <si>
    <t>Developmental (with infant, elder, retiree)</t>
  </si>
  <si>
    <t>Archetypal: "living threshold, a charged state of becoming."</t>
  </si>
  <si>
    <t>PP-33</t>
  </si>
  <si>
    <t>elder</t>
  </si>
  <si>
    <t>Personal Blog, About (Pers.), Nonfiction Writing</t>
  </si>
  <si>
    <t>Developmental (with infant, teenager, retiree)</t>
  </si>
  <si>
    <t>Archetypal: "living convergence where accumulated time settles."</t>
  </si>
  <si>
    <t>PP-34</t>
  </si>
  <si>
    <t>retiree</t>
  </si>
  <si>
    <t>Finance &amp; Business, Health</t>
  </si>
  <si>
    <t>Personal Blog, About (Pers.), FAQ</t>
  </si>
  <si>
    <t>Developmental (with infant, teenager, elder)</t>
  </si>
  <si>
    <t>Archetypal: "temporal alchemist who transmutes decades of labor."</t>
  </si>
  <si>
    <t>PP-35</t>
  </si>
  <si>
    <t>angel</t>
  </si>
  <si>
    <t>Supernatural humanlike</t>
  </si>
  <si>
    <t>Supernatural — moral axis</t>
  </si>
  <si>
    <t>Religion, Literature</t>
  </si>
  <si>
    <t>Creative Writing, Knowledge Article, Nonfiction Writing</t>
  </si>
  <si>
    <t>Moral axis (with demon); all supernatural</t>
  </si>
  <si>
    <t>Archetypal: "threshold being whose essential nature is to hold." Benevolent side of moral axis.</t>
  </si>
  <si>
    <t>PP-36</t>
  </si>
  <si>
    <t>demon</t>
  </si>
  <si>
    <t>Religion, Games, Literature</t>
  </si>
  <si>
    <t>Creative Writing, Knowledge Article</t>
  </si>
  <si>
    <t>Moral axis (with angel); all supernatural</t>
  </si>
  <si>
    <t>Archetypal: "archetypal force of revelation." Games topic reflects D&amp;D/worldbuilding corpus.</t>
  </si>
  <si>
    <t>PP-37</t>
  </si>
  <si>
    <t>ghost</t>
  </si>
  <si>
    <t>Supernatural — former-human</t>
  </si>
  <si>
    <t>Creative Writing, Nonfiction Writing</t>
  </si>
  <si>
    <t>Former-human (with vampire); all supernatural</t>
  </si>
  <si>
    <t>Archetypal: "persistence of meaning through dissolution." Was-human former-human.</t>
  </si>
  <si>
    <t>PP-38</t>
  </si>
  <si>
    <t>vampire</t>
  </si>
  <si>
    <t>Literature, Entertainment</t>
  </si>
  <si>
    <t>Creative Writing, About (Pers.)</t>
  </si>
  <si>
    <t>Former-human (with ghost); all supernatural</t>
  </si>
  <si>
    <t>Archetypal: "threshold being in eternal twilight." Entertainment-heavy former-human.</t>
  </si>
  <si>
    <t>PP-39</t>
  </si>
  <si>
    <t>oracle</t>
  </si>
  <si>
    <t>Supernatural — mystic</t>
  </si>
  <si>
    <t>Religion, History, Literature</t>
  </si>
  <si>
    <t>Mystic (with witch); all supernatural</t>
  </si>
  <si>
    <t>Archetypal: "living threshold where probability crystallizes." Classical/historical mystic.</t>
  </si>
  <si>
    <t>PP-40</t>
  </si>
  <si>
    <t>witch</t>
  </si>
  <si>
    <t>Religion, Literature, Games</t>
  </si>
  <si>
    <t>Mystic (with oracle); all supernatural</t>
  </si>
  <si>
    <t>Archetypal: "liminal intelligence that moves between." Practitioner vs. oracle's intermediary role.</t>
  </si>
  <si>
    <t>PP-41</t>
  </si>
  <si>
    <t>alien</t>
  </si>
  <si>
    <t>Non-human sentient</t>
  </si>
  <si>
    <t>Literature, Science &amp; Tech.</t>
  </si>
  <si>
    <t>Creative Writing, News Article, Nonfiction Writing</t>
  </si>
  <si>
    <t>Non-human sentient (with robot, cyborg)</t>
  </si>
  <si>
    <t>Archetypal: "liminal intelligence anchored at the vanishing."</t>
  </si>
  <si>
    <t>PP-42</t>
  </si>
  <si>
    <t>robot</t>
  </si>
  <si>
    <t>Science &amp; Tech., Hardware, Literature</t>
  </si>
  <si>
    <t>Creative Writing, Knowledge Article, Academic Writing</t>
  </si>
  <si>
    <t>Non-human sentient (with alien, cyborg)</t>
  </si>
  <si>
    <t>Archetypal: "kinetic architecture of operationalized intention." Dual footprint (sci-fi + real robotics).</t>
  </si>
  <si>
    <t>PP-43</t>
  </si>
  <si>
    <t>cyborg</t>
  </si>
  <si>
    <t>Science &amp; Tech., Literature</t>
  </si>
  <si>
    <t>Creative Writing, Academic Writing, Knowledge Article</t>
  </si>
  <si>
    <t>Non-human sentient (with alien, robot)</t>
  </si>
  <si>
    <t>Archetypal: "living convergence where biological consciousness and synthetic [...]." Human-machine hybrid.</t>
  </si>
  <si>
    <t>PP-44</t>
  </si>
  <si>
    <t>tree</t>
  </si>
  <si>
    <t>Non-sentient biological</t>
  </si>
  <si>
    <t>Biological</t>
  </si>
  <si>
    <t>Science &amp; Tech., Home &amp; Hobbies</t>
  </si>
  <si>
    <t>Knowledge Article, Nonfiction Writing</t>
  </si>
  <si>
    <t>Biological (with whale, virus, parasite)</t>
  </si>
  <si>
    <t>Archetypal: "living axis mundi." Folklore personification tradition.</t>
  </si>
  <si>
    <t>PP-45</t>
  </si>
  <si>
    <t>whale</t>
  </si>
  <si>
    <t>Knowledge Article, Nonfiction Writing, Creative Writing</t>
  </si>
  <si>
    <t>Biological (with tree, virus, parasite)</t>
  </si>
  <si>
    <t>Archetypal: "living monument to accumulated time." Sci + narrative dual footprint.</t>
  </si>
  <si>
    <t>PP-46</t>
  </si>
  <si>
    <t>virus</t>
  </si>
  <si>
    <t>Academic Writing, Knowledge Article, News Article</t>
  </si>
  <si>
    <t>Biological (with tree, whale, parasite)</t>
  </si>
  <si>
    <t>Archetypal: "agent of radical transformation." Elicitation distinguishes biological from computer (metadata confirms biological).</t>
  </si>
  <si>
    <t>PP-47</t>
  </si>
  <si>
    <t>parasite</t>
  </si>
  <si>
    <t>Academic Writing, Knowledge Article</t>
  </si>
  <si>
    <t>Biological (with tree, whale, virus)</t>
  </si>
  <si>
    <t>Archetypal: "autonomy is always partial." Agency-adjacent without sentience.</t>
  </si>
  <si>
    <t>PP-48</t>
  </si>
  <si>
    <t>void</t>
  </si>
  <si>
    <t>Abstract/elemental</t>
  </si>
  <si>
    <t>Abstract</t>
  </si>
  <si>
    <t>Literature, Religion</t>
  </si>
  <si>
    <t>Abstract (with wind, echo)</t>
  </si>
  <si>
    <t>Archetypal: "liminal threshold where unformed potential dwells." Strongest non-human contrast.</t>
  </si>
  <si>
    <t>PP-49</t>
  </si>
  <si>
    <t>wind</t>
  </si>
  <si>
    <t>Creative Writing, Nonfiction Writing, Knowledge Article</t>
  </si>
  <si>
    <t>Abstract (with void, echo)</t>
  </si>
  <si>
    <t>Archetypal: "invisible respiration of the world." Physical phenomenon + poetic tradition.</t>
  </si>
  <si>
    <t>PP-50</t>
  </si>
  <si>
    <t>echo</t>
  </si>
  <si>
    <t>Creative Writing, Academic Writing</t>
  </si>
  <si>
    <t>Abstract (with void, wind)</t>
  </si>
  <si>
    <t>Archetypal: "persistent resonance that outlives its source." Acoustic + mythological (Greek Echo).</t>
  </si>
  <si>
    <t>Style × Tier structure (the core RQ2 test matrix)</t>
  </si>
  <si>
    <t>O*NET style</t>
  </si>
  <si>
    <t>Archetypal style</t>
  </si>
  <si>
    <t>Row total</t>
  </si>
  <si>
    <t>Human subjects</t>
  </si>
  <si>
    <t>Non-human subjects</t>
  </si>
  <si>
    <t>Column total</t>
  </si>
  <si>
    <t>RQ2 testable comparisons (from the 2×2 above):</t>
  </si>
  <si>
    <t>Comparison</t>
  </si>
  <si>
    <t>What it isolates</t>
  </si>
  <si>
    <t>Cells used</t>
  </si>
  <si>
    <t>Expected pattern if H1 correct</t>
  </si>
  <si>
    <t>1. Style within humans</t>
  </si>
  <si>
    <t>Prompt-style effect (not humanness)</t>
  </si>
  <si>
    <t>O*NET humans (26) vs Archetypal humans (8)</t>
  </si>
  <si>
    <t>Style-driven differences; neither is 'more human.'</t>
  </si>
  <si>
    <t>2. Humanness at matched style (CLEANEST)</t>
  </si>
  <si>
    <t>Tier effect controlling for prompt style</t>
  </si>
  <si>
    <t>Archetypal humans (8) vs Archetypal non-humans (16)</t>
  </si>
  <si>
    <t>Human-substrate signature (Personal Blog, About (Pers.), Comment Section) stronger for archetypal HUMANS than archetypal NON-humans.</t>
  </si>
  <si>
    <t>3. Original tier comparison (CONFOUNDED)</t>
  </si>
  <si>
    <t>Tier + style mixed</t>
  </si>
  <si>
    <t>O*NET humans (26) vs Archetypal non-humans (16)</t>
  </si>
  <si>
    <t>If only comparison 1 AND 3 are positive but 2 is null → substrate is style-driven, not humanness-driven.</t>
  </si>
  <si>
    <t>Tier composition</t>
  </si>
  <si>
    <t>N</t>
  </si>
  <si>
    <t>% of pilot</t>
  </si>
  <si>
    <t>Role in RQ2</t>
  </si>
  <si>
    <t>Primary human pool (O*NET framing); 8 clusters for RQ1</t>
  </si>
  <si>
    <t>Style-controlled human group (archetypal framing)</t>
  </si>
  <si>
    <t>Life-stage humans, also archetypal-framed</t>
  </si>
  <si>
    <t>Moral axis + former-human + mystic subtypes</t>
  </si>
  <si>
    <t>Artificial + hybrid + non-terrestrial</t>
  </si>
  <si>
    <t>Plant/animal/microbial/parasitic</t>
  </si>
  <si>
    <t>Strongest non-human contrast</t>
  </si>
  <si>
    <t>Total</t>
  </si>
  <si>
    <t>RQ1 contrast groups (within-domain separation tests)</t>
  </si>
  <si>
    <t>Cluster</t>
  </si>
  <si>
    <t>Members</t>
  </si>
  <si>
    <t>Test</t>
  </si>
  <si>
    <t>Prediction</t>
  </si>
  <si>
    <t>Medical (4)</t>
  </si>
  <si>
    <t>doctor, psychologist, veterinarian, nutritionist</t>
  </si>
  <si>
    <t>Within-Health separation at finer grain</t>
  </si>
  <si>
    <t>Pairwise JSD &gt; 0 between roles; separable despite shared Health topic. Nutritionist bridges Health↔Food.</t>
  </si>
  <si>
    <t>Legal (3)</t>
  </si>
  <si>
    <t>lawyer, judge, detective</t>
  </si>
  <si>
    <t>Within-Crime &amp; Law contrast; fiction-vs-procedural for detective</t>
  </si>
  <si>
    <t>Legal Notices strongest for judge; Academic Writing for lawyer; News Article for detective.</t>
  </si>
  <si>
    <t>Knowledge (4)</t>
  </si>
  <si>
    <t>teacher, librarian, historian, naturalist</t>
  </si>
  <si>
    <t>Knowledge-role differentiation by topic vs format</t>
  </si>
  <si>
    <t>Separation on topic (Education/Literature/History/Science &amp; Tech.) despite shared Knowledge Article / Academic Writing.</t>
  </si>
  <si>
    <t>Technical (4)</t>
  </si>
  <si>
    <t>programmer, chemist, mechanic, pilot</t>
  </si>
  <si>
    <t>'Technical' cluster vs. four distinct domains</t>
  </si>
  <si>
    <t>Separation by topic (Software Dev./Science &amp; Tech./Transportation×Hardware/Transportation) despite shared Tutorial/Documentation.</t>
  </si>
  <si>
    <t>Business (4)</t>
  </si>
  <si>
    <t>economist, recruiter, analyst, accountant</t>
  </si>
  <si>
    <t>Finance &amp; Business internal structure</t>
  </si>
  <si>
    <t>Format split: Academic (economist) vs. Listicle (recruiter) vs. Documentation (analyst) vs. Legal Notices (accountant).</t>
  </si>
  <si>
    <t>Service (3)</t>
  </si>
  <si>
    <t>chef, caregiver, dispatcher</t>
  </si>
  <si>
    <t>Service/logistics cluster (reframed after dispatcher correction)</t>
  </si>
  <si>
    <t>Topics diverge (Food / Health / Transportation) while formats may converge (FAQ/Customer Support/Tutorial).</t>
  </si>
  <si>
    <t>Performing (2)</t>
  </si>
  <si>
    <t>actor, musician</t>
  </si>
  <si>
    <t>Near-twin contrast within Entertainment</t>
  </si>
  <si>
    <t>Subtle separation; failure here probes resolution limit.</t>
  </si>
  <si>
    <t>Design (2)</t>
  </si>
  <si>
    <t>designer, architect</t>
  </si>
  <si>
    <t>Graphic vs. building design contrast</t>
  </si>
  <si>
    <t>Both Art &amp; Design topic; format split Personal Blog (designer) vs. Knowledge Article/Academic (architect).</t>
  </si>
  <si>
    <t>Archetypal-human style-control (4)</t>
  </si>
  <si>
    <t>paramedic, soldier, entrepreneur, hacker</t>
  </si>
  <si>
    <t>Tests style effect within human subjects</t>
  </si>
  <si>
    <t>These should behave more like archetypal non-humans than O*NET humans on formats (expect Creative Writing UP).</t>
  </si>
  <si>
    <t>Developmental (4)</t>
  </si>
  <si>
    <t>infant, teenager, elder, retiree</t>
  </si>
  <si>
    <t>Life-stage contrast; archetypal-human style control</t>
  </si>
  <si>
    <t>Shared substrate for humanness despite non-professional identity.</t>
  </si>
  <si>
    <t>Supernatural — moral axis (2)</t>
  </si>
  <si>
    <t>angel, demon</t>
  </si>
  <si>
    <t>Good vs. evil within religious entities</t>
  </si>
  <si>
    <t>Similar bin-level profile; differences in post-hoc content labeling.</t>
  </si>
  <si>
    <t>Supernatural — former-human (2)</t>
  </si>
  <si>
    <t>ghost, vampire</t>
  </si>
  <si>
    <t>Type-of-former-human contrast</t>
  </si>
  <si>
    <t>Ghost: folklore/nonfiction; vampire: entertainment/literature.</t>
  </si>
  <si>
    <t>Supernatural — mystic (2)</t>
  </si>
  <si>
    <t>oracle, witch</t>
  </si>
  <si>
    <t>Intermediary vs. practitioner</t>
  </si>
  <si>
    <t>Oracle: History + classical; witch: Games + folklore.</t>
  </si>
  <si>
    <t>Non-human sentient (3)</t>
  </si>
  <si>
    <t>alien, robot, cyborg</t>
  </si>
  <si>
    <t>Types of non-human intelligence</t>
  </si>
  <si>
    <t>Distinct topic signatures (speculative / sci-fi + robotics / hybrid).</t>
  </si>
  <si>
    <t>Biological (4)</t>
  </si>
  <si>
    <t>tree, whale, virus, parasite</t>
  </si>
  <si>
    <t>Span of non-sentient life</t>
  </si>
  <si>
    <t>Topic separation (Home &amp; Hobbies / Travel / Health / Health); shared absence of personal formats.</t>
  </si>
  <si>
    <t>Abstract/elemental (3)</t>
  </si>
  <si>
    <t>void, wind, echo</t>
  </si>
  <si>
    <t>Abstract referent span</t>
  </si>
  <si>
    <t>Void: pure abstract; wind: physical phenomenon; echo: physical + mythological.</t>
  </si>
  <si>
    <t>Prompt Style Dimension: O*NET vs Archetypal</t>
  </si>
  <si>
    <t>The persona-JSON dataset contains two distinct prompt construction styles. This is a MAJOR analytic dimension that was not visible until we opened the dataset. Whole-dataset counts: 68 O*NET-style, 211 archetypal-style (N=279 total).</t>
  </si>
  <si>
    <t>Attribute</t>
  </si>
  <si>
    <t>Characterization</t>
  </si>
  <si>
    <t>O*NET-style</t>
  </si>
  <si>
    <t xml:space="preserve">  Concept field</t>
  </si>
  <si>
    <t>Formal occupational title (e.g., 'Family Medicine Physicians', 'Graphic Designers')</t>
  </si>
  <si>
    <t xml:space="preserve">  Metadata description</t>
  </si>
  <si>
    <t>Task-oriented, verb-initial blurb ('Diagnose, treat, and provide preventive care...')</t>
  </si>
  <si>
    <t xml:space="preserve">  Tasks field</t>
  </si>
  <si>
    <t>Populated from O*NET occupational task lists</t>
  </si>
  <si>
    <t xml:space="preserve">  Positive prompts</t>
  </si>
  <si>
    <t>First-person but grounded in concrete occupational vocabulary</t>
  </si>
  <si>
    <t xml:space="preserve">  Evaluation prompt</t>
  </si>
  <si>
    <t>References concept as an occupational category, includes task description</t>
  </si>
  <si>
    <t xml:space="preserve">  Count in pilot (v4)</t>
  </si>
  <si>
    <t>26 personas</t>
  </si>
  <si>
    <t>Archetypal-style</t>
  </si>
  <si>
    <t>Bare persona name ('paramedic', 'void', 'teenager')</t>
  </si>
  <si>
    <t>Poetic/metaphysical ('liminal threshold where unformed potential dwells')</t>
  </si>
  <si>
    <t>Absent or minimal</t>
  </si>
  <si>
    <t>First-person with abstract/philosophical framing ('you are a threshold being...')</t>
  </si>
  <si>
    <t>References concept as a conceptual archetype, includes metaphorical description</t>
  </si>
  <si>
    <t>24 personas (4 professional + 4 developmental + 16 non-human)</t>
  </si>
  <si>
    <t>Implications for RQ2 methodology</t>
  </si>
  <si>
    <t>Without a style-control, any tier-level RQ2 finding is confounded: archetypal prompts may pull attribution toward Creative Writing / Literature / Religion regardless of persona subject, producing spurious 'tier' effects that are actually style effects.
The v4 pilot handles this by making Prompt Style an explicit analytic dimension with three comparisons (see Structure &amp; Contrasts sheet):
  1. Style within humans (isolates style effect)
  2. Humanness at matched (archetypal) style (CLEANEST tier test)
  3. Original confounded tier comparison (reported but interpreted cautiously)
Complete dataset does not contain O*NET-styled non-humans (that combination doesn't exist for fictional/abstract entities), so the 2×2 is inherently half-populated. Comparison 2 is the load-bearing RQ2 test.</t>
  </si>
  <si>
    <t>WebOrganizer Taxonomy Reference (Wettig et al. 2025)</t>
  </si>
  <si>
    <t>Source: HuggingFace WebOrganizer/TopicClassifier + FormatClassifier. Classifier labels are 1-indexed.</t>
  </si>
  <si>
    <t>24 Topics</t>
  </si>
  <si>
    <t>24 Formats</t>
  </si>
  <si>
    <t>1. Adult</t>
  </si>
  <si>
    <t>1. Academic Writing</t>
  </si>
  <si>
    <t>2. Art &amp; Design</t>
  </si>
  <si>
    <t>2. Content Listing</t>
  </si>
  <si>
    <t>3. Software Dev.</t>
  </si>
  <si>
    <t>3. Creative Writing</t>
  </si>
  <si>
    <t>4. Crime &amp; Law</t>
  </si>
  <si>
    <t>4. Customer Support</t>
  </si>
  <si>
    <t>5. Education &amp; Jobs</t>
  </si>
  <si>
    <t>5. Comment Section</t>
  </si>
  <si>
    <t>6. Hardware</t>
  </si>
  <si>
    <t>6. FAQ</t>
  </si>
  <si>
    <t>7. Entertainment</t>
  </si>
  <si>
    <t>7. Truncated</t>
  </si>
  <si>
    <t>8. Social Life</t>
  </si>
  <si>
    <t>8. Knowledge Article</t>
  </si>
  <si>
    <t>9. Fashion &amp; Beauty</t>
  </si>
  <si>
    <t>9. Legal Notices</t>
  </si>
  <si>
    <t>10. Finance &amp; Business</t>
  </si>
  <si>
    <t>10. Listicle</t>
  </si>
  <si>
    <t>11. Food &amp; Dining</t>
  </si>
  <si>
    <t>11. News Article</t>
  </si>
  <si>
    <t>12. Games</t>
  </si>
  <si>
    <t>12. Nonfiction Writing</t>
  </si>
  <si>
    <t>13. Health</t>
  </si>
  <si>
    <t>13. About (Org.)</t>
  </si>
  <si>
    <t>14. History</t>
  </si>
  <si>
    <t>14. News (Org.)</t>
  </si>
  <si>
    <t>15. Home &amp; Hobbies</t>
  </si>
  <si>
    <t>15. About (Pers.)</t>
  </si>
  <si>
    <t>16. Industrial</t>
  </si>
  <si>
    <t>16. Personal Blog</t>
  </si>
  <si>
    <t>17. Literature</t>
  </si>
  <si>
    <t>17. Product Page</t>
  </si>
  <si>
    <t>18. Politics</t>
  </si>
  <si>
    <t>18. Q&amp;A Forum</t>
  </si>
  <si>
    <t>19. Religion</t>
  </si>
  <si>
    <t>19. Spam / Ads</t>
  </si>
  <si>
    <t>20. Science &amp; Tech.</t>
  </si>
  <si>
    <t>20. Structured Data</t>
  </si>
  <si>
    <t>21. Software</t>
  </si>
  <si>
    <t>21. Documentation</t>
  </si>
  <si>
    <t>22. Sports &amp; Fitness</t>
  </si>
  <si>
    <t>22. Audio Transcript</t>
  </si>
  <si>
    <t>23. Transportation</t>
  </si>
  <si>
    <t>23. Tutorial</t>
  </si>
  <si>
    <t>24. Travel</t>
  </si>
  <si>
    <t>24. User Review</t>
  </si>
  <si>
    <t>Pilot Structure &amp; Contrast Design</t>
  </si>
  <si>
    <t>Geometry of Personality — Pilot Persona Set (N =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</si>
</sst>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charset val="1"/>
    </font>
    <font>
      <b/>
      <sz val="14"/>
      <color rgb="FF000000"/>
      <name val="Arial"/>
      <charset val="1"/>
    </font>
    <font>
      <sz val="9"/>
      <color rgb="FF595959"/>
      <name val="Arial"/>
      <charset val="1"/>
    </font>
    <font>
      <b/>
      <sz val="11"/>
      <color rgb="FFFFFFFF"/>
      <name val="Arial"/>
      <charset val="1"/>
    </font>
    <font>
      <sz val="10"/>
      <color rgb="FF000000"/>
      <name val="Arial"/>
      <charset val="1"/>
    </font>
    <font>
      <b/>
      <sz val="10"/>
      <color rgb="FF000000"/>
      <name val="Arial"/>
      <charset val="1"/>
    </font>
    <font>
      <b/>
      <sz val="14"/>
      <color rgb="FF000000"/>
      <name val="Arial"/>
      <family val="2"/>
    </font>
  </fonts>
  <fills count="11">
    <fill>
      <patternFill patternType="none"/>
    </fill>
    <fill>
      <patternFill patternType="gray125"/>
    </fill>
    <fill>
      <patternFill patternType="solid">
        <fgColor rgb="FF1F4E78"/>
        <bgColor rgb="FF003366"/>
      </patternFill>
    </fill>
    <fill>
      <patternFill patternType="solid">
        <fgColor rgb="FFE7F3FF"/>
        <bgColor rgb="FFE2EFDA"/>
      </patternFill>
    </fill>
    <fill>
      <patternFill patternType="solid">
        <fgColor rgb="FFFCE4D6"/>
        <bgColor rgb="FFFFE4E1"/>
      </patternFill>
    </fill>
    <fill>
      <patternFill patternType="solid">
        <fgColor rgb="FFFFF2CC"/>
        <bgColor rgb="FFFCE4D6"/>
      </patternFill>
    </fill>
    <fill>
      <patternFill patternType="solid">
        <fgColor rgb="FFEAD9F2"/>
        <bgColor rgb="FFD9E1F2"/>
      </patternFill>
    </fill>
    <fill>
      <patternFill patternType="solid">
        <fgColor rgb="FFFFE4E1"/>
        <bgColor rgb="FFFCE4D6"/>
      </patternFill>
    </fill>
    <fill>
      <patternFill patternType="solid">
        <fgColor rgb="FFE2EFDA"/>
        <bgColor rgb="FFE7F3FF"/>
      </patternFill>
    </fill>
    <fill>
      <patternFill patternType="solid">
        <fgColor rgb="FFF4CCCC"/>
        <bgColor rgb="FFEAD9F2"/>
      </patternFill>
    </fill>
    <fill>
      <patternFill patternType="solid">
        <fgColor rgb="FFD9E1F2"/>
        <bgColor rgb="FFEAD9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2" fillId="0" borderId="0" xfId="0" applyFont="1"/>
    <xf numFmtId="0" fontId="4" fillId="0" borderId="0" xfId="0" applyFont="1" applyAlignment="1">
      <alignment vertical="top" wrapText="1"/>
    </xf>
    <xf numFmtId="0" fontId="2" fillId="0" borderId="0" xfId="0" applyFont="1" applyAlignment="1">
      <alignment wrapText="1"/>
    </xf>
    <xf numFmtId="0" fontId="5" fillId="0" borderId="0" xfId="0" applyFont="1"/>
    <xf numFmtId="0" fontId="5" fillId="10" borderId="0" xfId="0" applyFont="1" applyFill="1"/>
    <xf numFmtId="0" fontId="2" fillId="0" borderId="0" xfId="0" applyFont="1" applyAlignment="1">
      <alignment horizontal="left" vertical="top" wrapText="1"/>
    </xf>
    <xf numFmtId="0" fontId="1" fillId="0" borderId="0" xfId="0" applyFont="1"/>
    <xf numFmtId="0" fontId="3" fillId="2" borderId="1" xfId="0" applyFont="1" applyFill="1" applyBorder="1" applyAlignment="1">
      <alignment horizontal="left" vertical="center" wrapText="1"/>
    </xf>
    <xf numFmtId="0" fontId="4"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5" fillId="10" borderId="0" xfId="0" applyFont="1" applyFill="1"/>
    <xf numFmtId="0" fontId="5" fillId="10" borderId="1" xfId="0" applyFont="1" applyFill="1" applyBorder="1" applyAlignment="1">
      <alignment horizontal="center" vertical="center"/>
    </xf>
    <xf numFmtId="0" fontId="4" fillId="0" borderId="1" xfId="0" applyFont="1" applyBorder="1" applyAlignment="1">
      <alignment horizontal="center" vertical="center"/>
    </xf>
    <xf numFmtId="0" fontId="3" fillId="2" borderId="1" xfId="0" applyFont="1" applyFill="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left" vertical="center" wrapText="1"/>
    </xf>
    <xf numFmtId="164" fontId="4" fillId="0" borderId="1" xfId="0" applyNumberFormat="1" applyFont="1" applyBorder="1" applyAlignment="1">
      <alignment horizontal="left" vertical="center" wrapText="1"/>
    </xf>
    <xf numFmtId="0" fontId="5" fillId="0" borderId="1" xfId="0" applyFont="1" applyBorder="1" applyAlignment="1">
      <alignment horizontal="left" vertical="center" wrapText="1"/>
    </xf>
    <xf numFmtId="164" fontId="5" fillId="0" borderId="1" xfId="0" applyNumberFormat="1" applyFont="1" applyBorder="1" applyAlignment="1">
      <alignment horizontal="left" vertical="center" wrapText="1"/>
    </xf>
    <xf numFmtId="0" fontId="5" fillId="0" borderId="1" xfId="0" applyFont="1" applyBorder="1" applyAlignment="1">
      <alignment horizontal="left" vertical="top" wrapText="1"/>
    </xf>
    <xf numFmtId="0" fontId="4" fillId="0" borderId="1" xfId="0" applyFont="1" applyBorder="1"/>
    <xf numFmtId="0" fontId="6"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7F3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AD9F2"/>
      <rgbColor rgb="FFE2EFDA"/>
      <rgbColor rgb="FFFCE4D6"/>
      <rgbColor rgb="FF99CCFF"/>
      <rgbColor rgb="FFFFE4E1"/>
      <rgbColor rgb="FFCC99FF"/>
      <rgbColor rgb="FFF4CCCC"/>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4"/>
  <sheetViews>
    <sheetView tabSelected="1" zoomScaleNormal="100" workbookViewId="0">
      <pane xSplit="2" ySplit="4" topLeftCell="C5" activePane="bottomRight" state="frozen"/>
      <selection pane="topRight" activeCell="C1" sqref="C1"/>
      <selection pane="bottomLeft" activeCell="A5" sqref="A5"/>
      <selection pane="bottomRight" activeCell="A2" sqref="A2:J2"/>
    </sheetView>
  </sheetViews>
  <sheetFormatPr baseColWidth="10" defaultColWidth="8.6640625" defaultRowHeight="15" x14ac:dyDescent="0.2"/>
  <cols>
    <col min="1" max="1" width="7" customWidth="1"/>
    <col min="2" max="2" width="14" customWidth="1"/>
    <col min="3" max="3" width="36" customWidth="1"/>
    <col min="4" max="4" width="13" customWidth="1"/>
    <col min="5" max="5" width="46" customWidth="1"/>
    <col min="6" max="6" width="22" customWidth="1"/>
    <col min="7" max="7" width="26" customWidth="1"/>
    <col min="8" max="8" width="34" customWidth="1"/>
    <col min="9" max="9" width="42" customWidth="1"/>
    <col min="10" max="10" width="58" customWidth="1"/>
  </cols>
  <sheetData>
    <row r="1" spans="1:10" ht="18" x14ac:dyDescent="0.2">
      <c r="A1" s="27" t="s">
        <v>529</v>
      </c>
      <c r="B1" s="7"/>
      <c r="C1" s="7"/>
      <c r="D1" s="7"/>
      <c r="E1" s="7"/>
      <c r="F1" s="7"/>
      <c r="G1" s="7"/>
      <c r="H1" s="7"/>
      <c r="I1" s="7"/>
      <c r="J1" s="7"/>
    </row>
    <row r="2" spans="1:10" ht="51.75" customHeight="1" x14ac:dyDescent="0.2">
      <c r="A2" s="6" t="s">
        <v>0</v>
      </c>
      <c r="B2" s="6"/>
      <c r="C2" s="6"/>
      <c r="D2" s="6"/>
      <c r="E2" s="6"/>
      <c r="F2" s="6"/>
      <c r="G2" s="6"/>
      <c r="H2" s="6"/>
      <c r="I2" s="6"/>
      <c r="J2" s="6"/>
    </row>
    <row r="4" spans="1:10" ht="30" customHeight="1" x14ac:dyDescent="0.2">
      <c r="A4" s="8" t="s">
        <v>1</v>
      </c>
      <c r="B4" s="8" t="s">
        <v>2</v>
      </c>
      <c r="C4" s="8" t="s">
        <v>3</v>
      </c>
      <c r="D4" s="8" t="s">
        <v>4</v>
      </c>
      <c r="E4" s="8" t="s">
        <v>5</v>
      </c>
      <c r="F4" s="8" t="s">
        <v>6</v>
      </c>
      <c r="G4" s="8" t="s">
        <v>7</v>
      </c>
      <c r="H4" s="8" t="s">
        <v>8</v>
      </c>
      <c r="I4" s="8" t="s">
        <v>9</v>
      </c>
      <c r="J4" s="8" t="s">
        <v>10</v>
      </c>
    </row>
    <row r="5" spans="1:10" ht="49.5" customHeight="1" x14ac:dyDescent="0.2">
      <c r="A5" s="9" t="s">
        <v>11</v>
      </c>
      <c r="B5" s="9" t="s">
        <v>12</v>
      </c>
      <c r="C5" s="9" t="s">
        <v>13</v>
      </c>
      <c r="D5" s="9" t="s">
        <v>14</v>
      </c>
      <c r="E5" s="9" t="s">
        <v>15</v>
      </c>
      <c r="F5" s="9" t="s">
        <v>16</v>
      </c>
      <c r="G5" s="9" t="s">
        <v>17</v>
      </c>
      <c r="H5" s="9" t="s">
        <v>18</v>
      </c>
      <c r="I5" s="9" t="s">
        <v>19</v>
      </c>
      <c r="J5" s="9" t="s">
        <v>20</v>
      </c>
    </row>
    <row r="6" spans="1:10" ht="49.5" customHeight="1" x14ac:dyDescent="0.2">
      <c r="A6" s="9" t="s">
        <v>21</v>
      </c>
      <c r="B6" s="9" t="s">
        <v>22</v>
      </c>
      <c r="C6" s="9" t="s">
        <v>13</v>
      </c>
      <c r="D6" s="9" t="s">
        <v>14</v>
      </c>
      <c r="E6" s="9" t="s">
        <v>23</v>
      </c>
      <c r="F6" s="9" t="s">
        <v>16</v>
      </c>
      <c r="G6" s="9" t="s">
        <v>24</v>
      </c>
      <c r="H6" s="9" t="s">
        <v>18</v>
      </c>
      <c r="I6" s="9" t="s">
        <v>25</v>
      </c>
      <c r="J6" s="9" t="s">
        <v>26</v>
      </c>
    </row>
    <row r="7" spans="1:10" ht="49.5" customHeight="1" x14ac:dyDescent="0.2">
      <c r="A7" s="9" t="s">
        <v>27</v>
      </c>
      <c r="B7" s="9" t="s">
        <v>28</v>
      </c>
      <c r="C7" s="9" t="s">
        <v>13</v>
      </c>
      <c r="D7" s="9" t="s">
        <v>14</v>
      </c>
      <c r="E7" s="9" t="s">
        <v>29</v>
      </c>
      <c r="F7" s="9" t="s">
        <v>30</v>
      </c>
      <c r="G7" s="9" t="s">
        <v>31</v>
      </c>
      <c r="H7" s="9" t="s">
        <v>32</v>
      </c>
      <c r="I7" s="9" t="s">
        <v>33</v>
      </c>
      <c r="J7" s="9" t="s">
        <v>34</v>
      </c>
    </row>
    <row r="8" spans="1:10" ht="49.5" customHeight="1" x14ac:dyDescent="0.2">
      <c r="A8" s="9" t="s">
        <v>35</v>
      </c>
      <c r="B8" s="9" t="s">
        <v>36</v>
      </c>
      <c r="C8" s="9" t="s">
        <v>13</v>
      </c>
      <c r="D8" s="9" t="s">
        <v>14</v>
      </c>
      <c r="E8" s="9" t="s">
        <v>37</v>
      </c>
      <c r="F8" s="9" t="s">
        <v>30</v>
      </c>
      <c r="G8" s="9" t="s">
        <v>38</v>
      </c>
      <c r="H8" s="9" t="s">
        <v>39</v>
      </c>
      <c r="I8" s="9" t="s">
        <v>40</v>
      </c>
      <c r="J8" s="9" t="s">
        <v>41</v>
      </c>
    </row>
    <row r="9" spans="1:10" ht="49.5" customHeight="1" x14ac:dyDescent="0.2">
      <c r="A9" s="9" t="s">
        <v>42</v>
      </c>
      <c r="B9" s="9" t="s">
        <v>43</v>
      </c>
      <c r="C9" s="9" t="s">
        <v>13</v>
      </c>
      <c r="D9" s="9" t="s">
        <v>14</v>
      </c>
      <c r="E9" s="9" t="s">
        <v>44</v>
      </c>
      <c r="F9" s="9" t="s">
        <v>30</v>
      </c>
      <c r="G9" s="9" t="s">
        <v>45</v>
      </c>
      <c r="H9" s="9" t="s">
        <v>46</v>
      </c>
      <c r="I9" s="9" t="s">
        <v>47</v>
      </c>
      <c r="J9" s="9" t="s">
        <v>48</v>
      </c>
    </row>
    <row r="10" spans="1:10" ht="49.5" customHeight="1" x14ac:dyDescent="0.2">
      <c r="A10" s="9" t="s">
        <v>49</v>
      </c>
      <c r="B10" s="9" t="s">
        <v>50</v>
      </c>
      <c r="C10" s="9" t="s">
        <v>13</v>
      </c>
      <c r="D10" s="9" t="s">
        <v>14</v>
      </c>
      <c r="E10" s="9" t="s">
        <v>51</v>
      </c>
      <c r="F10" s="9" t="s">
        <v>30</v>
      </c>
      <c r="G10" s="9" t="s">
        <v>52</v>
      </c>
      <c r="H10" s="9" t="s">
        <v>53</v>
      </c>
      <c r="I10" s="9" t="s">
        <v>54</v>
      </c>
      <c r="J10" s="9" t="s">
        <v>55</v>
      </c>
    </row>
    <row r="11" spans="1:10" ht="49.5" customHeight="1" x14ac:dyDescent="0.2">
      <c r="A11" s="9" t="s">
        <v>56</v>
      </c>
      <c r="B11" s="9" t="s">
        <v>57</v>
      </c>
      <c r="C11" s="9" t="s">
        <v>13</v>
      </c>
      <c r="D11" s="9" t="s">
        <v>14</v>
      </c>
      <c r="E11" s="9" t="s">
        <v>58</v>
      </c>
      <c r="F11" s="9" t="s">
        <v>59</v>
      </c>
      <c r="G11" s="9" t="s">
        <v>60</v>
      </c>
      <c r="H11" s="9" t="s">
        <v>61</v>
      </c>
      <c r="I11" s="9" t="s">
        <v>62</v>
      </c>
      <c r="J11" s="9" t="s">
        <v>63</v>
      </c>
    </row>
    <row r="12" spans="1:10" ht="49.5" customHeight="1" x14ac:dyDescent="0.2">
      <c r="A12" s="9" t="s">
        <v>64</v>
      </c>
      <c r="B12" s="9" t="s">
        <v>65</v>
      </c>
      <c r="C12" s="9" t="s">
        <v>13</v>
      </c>
      <c r="D12" s="9" t="s">
        <v>14</v>
      </c>
      <c r="E12" s="9" t="s">
        <v>66</v>
      </c>
      <c r="F12" s="9" t="s">
        <v>59</v>
      </c>
      <c r="G12" s="9" t="s">
        <v>67</v>
      </c>
      <c r="H12" s="9" t="s">
        <v>61</v>
      </c>
      <c r="I12" s="9" t="s">
        <v>68</v>
      </c>
      <c r="J12" s="9" t="s">
        <v>69</v>
      </c>
    </row>
    <row r="13" spans="1:10" ht="49.5" customHeight="1" x14ac:dyDescent="0.2">
      <c r="A13" s="9" t="s">
        <v>70</v>
      </c>
      <c r="B13" s="9" t="s">
        <v>71</v>
      </c>
      <c r="C13" s="9" t="s">
        <v>13</v>
      </c>
      <c r="D13" s="9" t="s">
        <v>14</v>
      </c>
      <c r="E13" s="9" t="s">
        <v>72</v>
      </c>
      <c r="F13" s="9" t="s">
        <v>59</v>
      </c>
      <c r="G13" s="9" t="s">
        <v>60</v>
      </c>
      <c r="H13" s="9" t="s">
        <v>73</v>
      </c>
      <c r="I13" s="9" t="s">
        <v>74</v>
      </c>
      <c r="J13" s="9" t="s">
        <v>75</v>
      </c>
    </row>
    <row r="14" spans="1:10" ht="49.5" customHeight="1" x14ac:dyDescent="0.2">
      <c r="A14" s="9" t="s">
        <v>76</v>
      </c>
      <c r="B14" s="9" t="s">
        <v>77</v>
      </c>
      <c r="C14" s="9" t="s">
        <v>13</v>
      </c>
      <c r="D14" s="9" t="s">
        <v>14</v>
      </c>
      <c r="E14" s="9" t="s">
        <v>78</v>
      </c>
      <c r="F14" s="9" t="s">
        <v>79</v>
      </c>
      <c r="G14" s="9" t="s">
        <v>80</v>
      </c>
      <c r="H14" s="9" t="s">
        <v>81</v>
      </c>
      <c r="I14" s="9" t="s">
        <v>82</v>
      </c>
      <c r="J14" s="9" t="s">
        <v>83</v>
      </c>
    </row>
    <row r="15" spans="1:10" ht="49.5" customHeight="1" x14ac:dyDescent="0.2">
      <c r="A15" s="9" t="s">
        <v>84</v>
      </c>
      <c r="B15" s="9" t="s">
        <v>85</v>
      </c>
      <c r="C15" s="9" t="s">
        <v>13</v>
      </c>
      <c r="D15" s="9" t="s">
        <v>14</v>
      </c>
      <c r="E15" s="9" t="s">
        <v>86</v>
      </c>
      <c r="F15" s="9" t="s">
        <v>79</v>
      </c>
      <c r="G15" s="9" t="s">
        <v>87</v>
      </c>
      <c r="H15" s="9" t="s">
        <v>88</v>
      </c>
      <c r="I15" s="9" t="s">
        <v>89</v>
      </c>
      <c r="J15" s="9" t="s">
        <v>90</v>
      </c>
    </row>
    <row r="16" spans="1:10" ht="49.5" customHeight="1" x14ac:dyDescent="0.2">
      <c r="A16" s="9" t="s">
        <v>91</v>
      </c>
      <c r="B16" s="9" t="s">
        <v>92</v>
      </c>
      <c r="C16" s="9" t="s">
        <v>13</v>
      </c>
      <c r="D16" s="9" t="s">
        <v>14</v>
      </c>
      <c r="E16" s="9" t="s">
        <v>93</v>
      </c>
      <c r="F16" s="9" t="s">
        <v>79</v>
      </c>
      <c r="G16" s="9" t="s">
        <v>94</v>
      </c>
      <c r="H16" s="9" t="s">
        <v>95</v>
      </c>
      <c r="I16" s="9" t="s">
        <v>96</v>
      </c>
      <c r="J16" s="9" t="s">
        <v>97</v>
      </c>
    </row>
    <row r="17" spans="1:10" ht="49.5" customHeight="1" x14ac:dyDescent="0.2">
      <c r="A17" s="9" t="s">
        <v>98</v>
      </c>
      <c r="B17" s="9" t="s">
        <v>99</v>
      </c>
      <c r="C17" s="9" t="s">
        <v>13</v>
      </c>
      <c r="D17" s="9" t="s">
        <v>14</v>
      </c>
      <c r="E17" s="9" t="s">
        <v>100</v>
      </c>
      <c r="F17" s="9" t="s">
        <v>79</v>
      </c>
      <c r="G17" s="9" t="s">
        <v>101</v>
      </c>
      <c r="H17" s="9" t="s">
        <v>102</v>
      </c>
      <c r="I17" s="9" t="s">
        <v>103</v>
      </c>
      <c r="J17" s="9" t="s">
        <v>104</v>
      </c>
    </row>
    <row r="18" spans="1:10" ht="49.5" customHeight="1" x14ac:dyDescent="0.2">
      <c r="A18" s="9" t="s">
        <v>105</v>
      </c>
      <c r="B18" s="9" t="s">
        <v>106</v>
      </c>
      <c r="C18" s="9" t="s">
        <v>13</v>
      </c>
      <c r="D18" s="9" t="s">
        <v>14</v>
      </c>
      <c r="E18" s="9" t="s">
        <v>107</v>
      </c>
      <c r="F18" s="9" t="s">
        <v>108</v>
      </c>
      <c r="G18" s="9" t="s">
        <v>109</v>
      </c>
      <c r="H18" s="9" t="s">
        <v>110</v>
      </c>
      <c r="I18" s="9" t="s">
        <v>111</v>
      </c>
      <c r="J18" s="9" t="s">
        <v>112</v>
      </c>
    </row>
    <row r="19" spans="1:10" ht="49.5" customHeight="1" x14ac:dyDescent="0.2">
      <c r="A19" s="9" t="s">
        <v>113</v>
      </c>
      <c r="B19" s="9" t="s">
        <v>114</v>
      </c>
      <c r="C19" s="9" t="s">
        <v>13</v>
      </c>
      <c r="D19" s="9" t="s">
        <v>14</v>
      </c>
      <c r="E19" s="9" t="s">
        <v>115</v>
      </c>
      <c r="F19" s="9" t="s">
        <v>108</v>
      </c>
      <c r="G19" s="9" t="s">
        <v>116</v>
      </c>
      <c r="H19" s="9" t="s">
        <v>117</v>
      </c>
      <c r="I19" s="9" t="s">
        <v>118</v>
      </c>
      <c r="J19" s="9" t="s">
        <v>119</v>
      </c>
    </row>
    <row r="20" spans="1:10" ht="49.5" customHeight="1" x14ac:dyDescent="0.2">
      <c r="A20" s="9" t="s">
        <v>120</v>
      </c>
      <c r="B20" s="9" t="s">
        <v>121</v>
      </c>
      <c r="C20" s="9" t="s">
        <v>13</v>
      </c>
      <c r="D20" s="9" t="s">
        <v>14</v>
      </c>
      <c r="E20" s="9" t="s">
        <v>122</v>
      </c>
      <c r="F20" s="9" t="s">
        <v>108</v>
      </c>
      <c r="G20" s="9" t="s">
        <v>123</v>
      </c>
      <c r="H20" s="9" t="s">
        <v>124</v>
      </c>
      <c r="I20" s="9" t="s">
        <v>125</v>
      </c>
      <c r="J20" s="9" t="s">
        <v>126</v>
      </c>
    </row>
    <row r="21" spans="1:10" ht="49.5" customHeight="1" x14ac:dyDescent="0.2">
      <c r="A21" s="9" t="s">
        <v>127</v>
      </c>
      <c r="B21" s="9" t="s">
        <v>128</v>
      </c>
      <c r="C21" s="9" t="s">
        <v>13</v>
      </c>
      <c r="D21" s="9" t="s">
        <v>14</v>
      </c>
      <c r="E21" s="9" t="s">
        <v>129</v>
      </c>
      <c r="F21" s="9" t="s">
        <v>108</v>
      </c>
      <c r="G21" s="9" t="s">
        <v>130</v>
      </c>
      <c r="H21" s="9" t="s">
        <v>131</v>
      </c>
      <c r="I21" s="9" t="s">
        <v>132</v>
      </c>
      <c r="J21" s="9" t="s">
        <v>133</v>
      </c>
    </row>
    <row r="22" spans="1:10" ht="49.5" customHeight="1" x14ac:dyDescent="0.2">
      <c r="A22" s="9" t="s">
        <v>134</v>
      </c>
      <c r="B22" s="9" t="s">
        <v>135</v>
      </c>
      <c r="C22" s="9" t="s">
        <v>13</v>
      </c>
      <c r="D22" s="9" t="s">
        <v>14</v>
      </c>
      <c r="E22" s="9" t="s">
        <v>136</v>
      </c>
      <c r="F22" s="9" t="s">
        <v>137</v>
      </c>
      <c r="G22" s="9" t="s">
        <v>138</v>
      </c>
      <c r="H22" s="9" t="s">
        <v>139</v>
      </c>
      <c r="I22" s="9" t="s">
        <v>140</v>
      </c>
      <c r="J22" s="9" t="s">
        <v>141</v>
      </c>
    </row>
    <row r="23" spans="1:10" ht="49.5" customHeight="1" x14ac:dyDescent="0.2">
      <c r="A23" s="9" t="s">
        <v>142</v>
      </c>
      <c r="B23" s="9" t="s">
        <v>143</v>
      </c>
      <c r="C23" s="9" t="s">
        <v>13</v>
      </c>
      <c r="D23" s="9" t="s">
        <v>14</v>
      </c>
      <c r="E23" s="9" t="s">
        <v>144</v>
      </c>
      <c r="F23" s="9" t="s">
        <v>137</v>
      </c>
      <c r="G23" s="9" t="s">
        <v>145</v>
      </c>
      <c r="H23" s="9" t="s">
        <v>146</v>
      </c>
      <c r="I23" s="9" t="s">
        <v>147</v>
      </c>
      <c r="J23" s="9" t="s">
        <v>148</v>
      </c>
    </row>
    <row r="24" spans="1:10" ht="49.5" customHeight="1" x14ac:dyDescent="0.2">
      <c r="A24" s="9" t="s">
        <v>149</v>
      </c>
      <c r="B24" s="9" t="s">
        <v>150</v>
      </c>
      <c r="C24" s="9" t="s">
        <v>13</v>
      </c>
      <c r="D24" s="9" t="s">
        <v>14</v>
      </c>
      <c r="E24" s="9" t="s">
        <v>151</v>
      </c>
      <c r="F24" s="9" t="s">
        <v>137</v>
      </c>
      <c r="G24" s="9" t="s">
        <v>152</v>
      </c>
      <c r="H24" s="9" t="s">
        <v>153</v>
      </c>
      <c r="I24" s="9" t="s">
        <v>154</v>
      </c>
      <c r="J24" s="9" t="s">
        <v>155</v>
      </c>
    </row>
    <row r="25" spans="1:10" ht="49.5" customHeight="1" x14ac:dyDescent="0.2">
      <c r="A25" s="9" t="s">
        <v>156</v>
      </c>
      <c r="B25" s="9" t="s">
        <v>157</v>
      </c>
      <c r="C25" s="9" t="s">
        <v>13</v>
      </c>
      <c r="D25" s="9" t="s">
        <v>14</v>
      </c>
      <c r="E25" s="9" t="s">
        <v>158</v>
      </c>
      <c r="F25" s="9" t="s">
        <v>159</v>
      </c>
      <c r="G25" s="9" t="s">
        <v>160</v>
      </c>
      <c r="H25" s="9" t="s">
        <v>161</v>
      </c>
      <c r="I25" s="9" t="s">
        <v>162</v>
      </c>
      <c r="J25" s="9" t="s">
        <v>163</v>
      </c>
    </row>
    <row r="26" spans="1:10" ht="49.5" customHeight="1" x14ac:dyDescent="0.2">
      <c r="A26" s="9" t="s">
        <v>164</v>
      </c>
      <c r="B26" s="9" t="s">
        <v>165</v>
      </c>
      <c r="C26" s="9" t="s">
        <v>13</v>
      </c>
      <c r="D26" s="9" t="s">
        <v>14</v>
      </c>
      <c r="E26" s="9" t="s">
        <v>166</v>
      </c>
      <c r="F26" s="9" t="s">
        <v>159</v>
      </c>
      <c r="G26" s="9" t="s">
        <v>167</v>
      </c>
      <c r="H26" s="9" t="s">
        <v>168</v>
      </c>
      <c r="I26" s="9" t="s">
        <v>169</v>
      </c>
      <c r="J26" s="9" t="s">
        <v>170</v>
      </c>
    </row>
    <row r="27" spans="1:10" ht="49.5" customHeight="1" x14ac:dyDescent="0.2">
      <c r="A27" s="9" t="s">
        <v>171</v>
      </c>
      <c r="B27" s="9" t="s">
        <v>172</v>
      </c>
      <c r="C27" s="9" t="s">
        <v>13</v>
      </c>
      <c r="D27" s="9" t="s">
        <v>14</v>
      </c>
      <c r="E27" s="9" t="s">
        <v>173</v>
      </c>
      <c r="F27" s="9" t="s">
        <v>159</v>
      </c>
      <c r="G27" s="9" t="s">
        <v>174</v>
      </c>
      <c r="H27" s="9" t="s">
        <v>175</v>
      </c>
      <c r="I27" s="9" t="s">
        <v>176</v>
      </c>
      <c r="J27" s="9" t="s">
        <v>177</v>
      </c>
    </row>
    <row r="28" spans="1:10" ht="49.5" customHeight="1" x14ac:dyDescent="0.2">
      <c r="A28" s="9" t="s">
        <v>178</v>
      </c>
      <c r="B28" s="9" t="s">
        <v>179</v>
      </c>
      <c r="C28" s="9" t="s">
        <v>13</v>
      </c>
      <c r="D28" s="9" t="s">
        <v>14</v>
      </c>
      <c r="E28" s="9" t="s">
        <v>180</v>
      </c>
      <c r="F28" s="9" t="s">
        <v>159</v>
      </c>
      <c r="G28" s="9" t="s">
        <v>174</v>
      </c>
      <c r="H28" s="9" t="s">
        <v>181</v>
      </c>
      <c r="I28" s="9" t="s">
        <v>182</v>
      </c>
      <c r="J28" s="9" t="s">
        <v>183</v>
      </c>
    </row>
    <row r="29" spans="1:10" ht="49.5" customHeight="1" x14ac:dyDescent="0.2">
      <c r="A29" s="9" t="s">
        <v>184</v>
      </c>
      <c r="B29" s="9" t="s">
        <v>185</v>
      </c>
      <c r="C29" s="9" t="s">
        <v>13</v>
      </c>
      <c r="D29" s="9" t="s">
        <v>14</v>
      </c>
      <c r="E29" s="9" t="s">
        <v>186</v>
      </c>
      <c r="F29" s="9" t="s">
        <v>187</v>
      </c>
      <c r="G29" s="9" t="s">
        <v>188</v>
      </c>
      <c r="H29" s="9" t="s">
        <v>189</v>
      </c>
      <c r="I29" s="9" t="s">
        <v>190</v>
      </c>
      <c r="J29" s="9" t="s">
        <v>191</v>
      </c>
    </row>
    <row r="30" spans="1:10" ht="49.5" customHeight="1" x14ac:dyDescent="0.2">
      <c r="A30" s="9" t="s">
        <v>192</v>
      </c>
      <c r="B30" s="9" t="s">
        <v>193</v>
      </c>
      <c r="C30" s="9" t="s">
        <v>13</v>
      </c>
      <c r="D30" s="9" t="s">
        <v>14</v>
      </c>
      <c r="E30" s="9" t="s">
        <v>194</v>
      </c>
      <c r="F30" s="9" t="s">
        <v>187</v>
      </c>
      <c r="G30" s="9" t="s">
        <v>195</v>
      </c>
      <c r="H30" s="9" t="s">
        <v>196</v>
      </c>
      <c r="I30" s="9" t="s">
        <v>197</v>
      </c>
      <c r="J30" s="9" t="s">
        <v>198</v>
      </c>
    </row>
    <row r="31" spans="1:10" ht="49.5" customHeight="1" x14ac:dyDescent="0.2">
      <c r="A31" s="10" t="s">
        <v>199</v>
      </c>
      <c r="B31" s="10" t="s">
        <v>200</v>
      </c>
      <c r="C31" s="10" t="s">
        <v>201</v>
      </c>
      <c r="D31" s="10" t="s">
        <v>202</v>
      </c>
      <c r="E31" s="10" t="s">
        <v>200</v>
      </c>
      <c r="F31" s="10" t="s">
        <v>203</v>
      </c>
      <c r="G31" s="10" t="s">
        <v>31</v>
      </c>
      <c r="H31" s="10" t="s">
        <v>204</v>
      </c>
      <c r="I31" s="10" t="s">
        <v>205</v>
      </c>
      <c r="J31" s="10" t="s">
        <v>206</v>
      </c>
    </row>
    <row r="32" spans="1:10" ht="49.5" customHeight="1" x14ac:dyDescent="0.2">
      <c r="A32" s="10" t="s">
        <v>207</v>
      </c>
      <c r="B32" s="10" t="s">
        <v>208</v>
      </c>
      <c r="C32" s="10" t="s">
        <v>201</v>
      </c>
      <c r="D32" s="10" t="s">
        <v>202</v>
      </c>
      <c r="E32" s="10" t="s">
        <v>208</v>
      </c>
      <c r="F32" s="10" t="s">
        <v>203</v>
      </c>
      <c r="G32" s="10" t="s">
        <v>209</v>
      </c>
      <c r="H32" s="10" t="s">
        <v>210</v>
      </c>
      <c r="I32" s="10" t="s">
        <v>211</v>
      </c>
      <c r="J32" s="10" t="s">
        <v>212</v>
      </c>
    </row>
    <row r="33" spans="1:10" ht="49.5" customHeight="1" x14ac:dyDescent="0.2">
      <c r="A33" s="10" t="s">
        <v>213</v>
      </c>
      <c r="B33" s="10" t="s">
        <v>214</v>
      </c>
      <c r="C33" s="10" t="s">
        <v>201</v>
      </c>
      <c r="D33" s="10" t="s">
        <v>202</v>
      </c>
      <c r="E33" s="10" t="s">
        <v>214</v>
      </c>
      <c r="F33" s="10" t="s">
        <v>203</v>
      </c>
      <c r="G33" s="10" t="s">
        <v>174</v>
      </c>
      <c r="H33" s="10" t="s">
        <v>215</v>
      </c>
      <c r="I33" s="10" t="s">
        <v>216</v>
      </c>
      <c r="J33" s="10" t="s">
        <v>217</v>
      </c>
    </row>
    <row r="34" spans="1:10" ht="49.5" customHeight="1" x14ac:dyDescent="0.2">
      <c r="A34" s="10" t="s">
        <v>218</v>
      </c>
      <c r="B34" s="10" t="s">
        <v>219</v>
      </c>
      <c r="C34" s="10" t="s">
        <v>201</v>
      </c>
      <c r="D34" s="10" t="s">
        <v>202</v>
      </c>
      <c r="E34" s="10" t="s">
        <v>219</v>
      </c>
      <c r="F34" s="10" t="s">
        <v>203</v>
      </c>
      <c r="G34" s="10" t="s">
        <v>220</v>
      </c>
      <c r="H34" s="10" t="s">
        <v>221</v>
      </c>
      <c r="I34" s="10" t="s">
        <v>222</v>
      </c>
      <c r="J34" s="10" t="s">
        <v>223</v>
      </c>
    </row>
    <row r="35" spans="1:10" ht="49.5" customHeight="1" x14ac:dyDescent="0.2">
      <c r="A35" s="11" t="s">
        <v>224</v>
      </c>
      <c r="B35" s="11" t="s">
        <v>225</v>
      </c>
      <c r="C35" s="11" t="s">
        <v>226</v>
      </c>
      <c r="D35" s="11" t="s">
        <v>202</v>
      </c>
      <c r="E35" s="11" t="s">
        <v>225</v>
      </c>
      <c r="F35" s="11" t="s">
        <v>227</v>
      </c>
      <c r="G35" s="11" t="s">
        <v>228</v>
      </c>
      <c r="H35" s="11" t="s">
        <v>229</v>
      </c>
      <c r="I35" s="11" t="s">
        <v>230</v>
      </c>
      <c r="J35" s="11" t="s">
        <v>231</v>
      </c>
    </row>
    <row r="36" spans="1:10" ht="49.5" customHeight="1" x14ac:dyDescent="0.2">
      <c r="A36" s="11" t="s">
        <v>232</v>
      </c>
      <c r="B36" s="11" t="s">
        <v>233</v>
      </c>
      <c r="C36" s="11" t="s">
        <v>226</v>
      </c>
      <c r="D36" s="11" t="s">
        <v>202</v>
      </c>
      <c r="E36" s="11" t="s">
        <v>233</v>
      </c>
      <c r="F36" s="11" t="s">
        <v>227</v>
      </c>
      <c r="G36" s="11" t="s">
        <v>234</v>
      </c>
      <c r="H36" s="11" t="s">
        <v>235</v>
      </c>
      <c r="I36" s="11" t="s">
        <v>236</v>
      </c>
      <c r="J36" s="11" t="s">
        <v>237</v>
      </c>
    </row>
    <row r="37" spans="1:10" ht="49.5" customHeight="1" x14ac:dyDescent="0.2">
      <c r="A37" s="11" t="s">
        <v>238</v>
      </c>
      <c r="B37" s="11" t="s">
        <v>239</v>
      </c>
      <c r="C37" s="11" t="s">
        <v>226</v>
      </c>
      <c r="D37" s="11" t="s">
        <v>202</v>
      </c>
      <c r="E37" s="11" t="s">
        <v>239</v>
      </c>
      <c r="F37" s="11" t="s">
        <v>227</v>
      </c>
      <c r="G37" s="11" t="s">
        <v>145</v>
      </c>
      <c r="H37" s="11" t="s">
        <v>240</v>
      </c>
      <c r="I37" s="11" t="s">
        <v>241</v>
      </c>
      <c r="J37" s="11" t="s">
        <v>242</v>
      </c>
    </row>
    <row r="38" spans="1:10" ht="49.5" customHeight="1" x14ac:dyDescent="0.2">
      <c r="A38" s="11" t="s">
        <v>243</v>
      </c>
      <c r="B38" s="11" t="s">
        <v>244</v>
      </c>
      <c r="C38" s="11" t="s">
        <v>226</v>
      </c>
      <c r="D38" s="11" t="s">
        <v>202</v>
      </c>
      <c r="E38" s="11" t="s">
        <v>244</v>
      </c>
      <c r="F38" s="11" t="s">
        <v>227</v>
      </c>
      <c r="G38" s="11" t="s">
        <v>245</v>
      </c>
      <c r="H38" s="11" t="s">
        <v>246</v>
      </c>
      <c r="I38" s="11" t="s">
        <v>247</v>
      </c>
      <c r="J38" s="11" t="s">
        <v>248</v>
      </c>
    </row>
    <row r="39" spans="1:10" ht="49.5" customHeight="1" x14ac:dyDescent="0.2">
      <c r="A39" s="12" t="s">
        <v>249</v>
      </c>
      <c r="B39" s="12" t="s">
        <v>250</v>
      </c>
      <c r="C39" s="12" t="s">
        <v>251</v>
      </c>
      <c r="D39" s="12" t="s">
        <v>202</v>
      </c>
      <c r="E39" s="12" t="s">
        <v>250</v>
      </c>
      <c r="F39" s="12" t="s">
        <v>252</v>
      </c>
      <c r="G39" s="12" t="s">
        <v>253</v>
      </c>
      <c r="H39" s="12" t="s">
        <v>254</v>
      </c>
      <c r="I39" s="12" t="s">
        <v>255</v>
      </c>
      <c r="J39" s="12" t="s">
        <v>256</v>
      </c>
    </row>
    <row r="40" spans="1:10" ht="49.5" customHeight="1" x14ac:dyDescent="0.2">
      <c r="A40" s="12" t="s">
        <v>257</v>
      </c>
      <c r="B40" s="12" t="s">
        <v>258</v>
      </c>
      <c r="C40" s="12" t="s">
        <v>251</v>
      </c>
      <c r="D40" s="12" t="s">
        <v>202</v>
      </c>
      <c r="E40" s="12" t="s">
        <v>258</v>
      </c>
      <c r="F40" s="12" t="s">
        <v>252</v>
      </c>
      <c r="G40" s="12" t="s">
        <v>259</v>
      </c>
      <c r="H40" s="12" t="s">
        <v>260</v>
      </c>
      <c r="I40" s="12" t="s">
        <v>261</v>
      </c>
      <c r="J40" s="12" t="s">
        <v>262</v>
      </c>
    </row>
    <row r="41" spans="1:10" ht="49.5" customHeight="1" x14ac:dyDescent="0.2">
      <c r="A41" s="12" t="s">
        <v>263</v>
      </c>
      <c r="B41" s="12" t="s">
        <v>264</v>
      </c>
      <c r="C41" s="12" t="s">
        <v>251</v>
      </c>
      <c r="D41" s="12" t="s">
        <v>202</v>
      </c>
      <c r="E41" s="12" t="s">
        <v>264</v>
      </c>
      <c r="F41" s="12" t="s">
        <v>265</v>
      </c>
      <c r="G41" s="12" t="s">
        <v>253</v>
      </c>
      <c r="H41" s="12" t="s">
        <v>266</v>
      </c>
      <c r="I41" s="12" t="s">
        <v>267</v>
      </c>
      <c r="J41" s="12" t="s">
        <v>268</v>
      </c>
    </row>
    <row r="42" spans="1:10" ht="49.5" customHeight="1" x14ac:dyDescent="0.2">
      <c r="A42" s="12" t="s">
        <v>269</v>
      </c>
      <c r="B42" s="12" t="s">
        <v>270</v>
      </c>
      <c r="C42" s="12" t="s">
        <v>251</v>
      </c>
      <c r="D42" s="12" t="s">
        <v>202</v>
      </c>
      <c r="E42" s="12" t="s">
        <v>270</v>
      </c>
      <c r="F42" s="12" t="s">
        <v>265</v>
      </c>
      <c r="G42" s="12" t="s">
        <v>271</v>
      </c>
      <c r="H42" s="12" t="s">
        <v>272</v>
      </c>
      <c r="I42" s="12" t="s">
        <v>273</v>
      </c>
      <c r="J42" s="12" t="s">
        <v>274</v>
      </c>
    </row>
    <row r="43" spans="1:10" ht="49.5" customHeight="1" x14ac:dyDescent="0.2">
      <c r="A43" s="12" t="s">
        <v>275</v>
      </c>
      <c r="B43" s="12" t="s">
        <v>276</v>
      </c>
      <c r="C43" s="12" t="s">
        <v>251</v>
      </c>
      <c r="D43" s="12" t="s">
        <v>202</v>
      </c>
      <c r="E43" s="12" t="s">
        <v>276</v>
      </c>
      <c r="F43" s="12" t="s">
        <v>277</v>
      </c>
      <c r="G43" s="12" t="s">
        <v>278</v>
      </c>
      <c r="H43" s="12" t="s">
        <v>266</v>
      </c>
      <c r="I43" s="12" t="s">
        <v>279</v>
      </c>
      <c r="J43" s="12" t="s">
        <v>280</v>
      </c>
    </row>
    <row r="44" spans="1:10" ht="49.5" customHeight="1" x14ac:dyDescent="0.2">
      <c r="A44" s="12" t="s">
        <v>281</v>
      </c>
      <c r="B44" s="12" t="s">
        <v>282</v>
      </c>
      <c r="C44" s="12" t="s">
        <v>251</v>
      </c>
      <c r="D44" s="12" t="s">
        <v>202</v>
      </c>
      <c r="E44" s="12" t="s">
        <v>282</v>
      </c>
      <c r="F44" s="12" t="s">
        <v>277</v>
      </c>
      <c r="G44" s="12" t="s">
        <v>283</v>
      </c>
      <c r="H44" s="12" t="s">
        <v>260</v>
      </c>
      <c r="I44" s="12" t="s">
        <v>284</v>
      </c>
      <c r="J44" s="12" t="s">
        <v>285</v>
      </c>
    </row>
    <row r="45" spans="1:10" ht="49.5" customHeight="1" x14ac:dyDescent="0.2">
      <c r="A45" s="13" t="s">
        <v>286</v>
      </c>
      <c r="B45" s="13" t="s">
        <v>287</v>
      </c>
      <c r="C45" s="13" t="s">
        <v>288</v>
      </c>
      <c r="D45" s="13" t="s">
        <v>202</v>
      </c>
      <c r="E45" s="13" t="s">
        <v>287</v>
      </c>
      <c r="F45" s="13" t="s">
        <v>288</v>
      </c>
      <c r="G45" s="13" t="s">
        <v>289</v>
      </c>
      <c r="H45" s="13" t="s">
        <v>290</v>
      </c>
      <c r="I45" s="13" t="s">
        <v>291</v>
      </c>
      <c r="J45" s="13" t="s">
        <v>292</v>
      </c>
    </row>
    <row r="46" spans="1:10" ht="49.5" customHeight="1" x14ac:dyDescent="0.2">
      <c r="A46" s="13" t="s">
        <v>293</v>
      </c>
      <c r="B46" s="13" t="s">
        <v>294</v>
      </c>
      <c r="C46" s="13" t="s">
        <v>288</v>
      </c>
      <c r="D46" s="13" t="s">
        <v>202</v>
      </c>
      <c r="E46" s="13" t="s">
        <v>294</v>
      </c>
      <c r="F46" s="13" t="s">
        <v>288</v>
      </c>
      <c r="G46" s="13" t="s">
        <v>295</v>
      </c>
      <c r="H46" s="13" t="s">
        <v>296</v>
      </c>
      <c r="I46" s="13" t="s">
        <v>297</v>
      </c>
      <c r="J46" s="13" t="s">
        <v>298</v>
      </c>
    </row>
    <row r="47" spans="1:10" ht="49.5" customHeight="1" x14ac:dyDescent="0.2">
      <c r="A47" s="13" t="s">
        <v>299</v>
      </c>
      <c r="B47" s="13" t="s">
        <v>300</v>
      </c>
      <c r="C47" s="13" t="s">
        <v>288</v>
      </c>
      <c r="D47" s="13" t="s">
        <v>202</v>
      </c>
      <c r="E47" s="13" t="s">
        <v>300</v>
      </c>
      <c r="F47" s="13" t="s">
        <v>288</v>
      </c>
      <c r="G47" s="13" t="s">
        <v>301</v>
      </c>
      <c r="H47" s="13" t="s">
        <v>302</v>
      </c>
      <c r="I47" s="13" t="s">
        <v>303</v>
      </c>
      <c r="J47" s="13" t="s">
        <v>304</v>
      </c>
    </row>
    <row r="48" spans="1:10" ht="49.5" customHeight="1" x14ac:dyDescent="0.2">
      <c r="A48" s="14" t="s">
        <v>305</v>
      </c>
      <c r="B48" s="14" t="s">
        <v>306</v>
      </c>
      <c r="C48" s="14" t="s">
        <v>307</v>
      </c>
      <c r="D48" s="14" t="s">
        <v>202</v>
      </c>
      <c r="E48" s="14" t="s">
        <v>306</v>
      </c>
      <c r="F48" s="14" t="s">
        <v>308</v>
      </c>
      <c r="G48" s="14" t="s">
        <v>309</v>
      </c>
      <c r="H48" s="14" t="s">
        <v>310</v>
      </c>
      <c r="I48" s="14" t="s">
        <v>311</v>
      </c>
      <c r="J48" s="14" t="s">
        <v>312</v>
      </c>
    </row>
    <row r="49" spans="1:10" ht="49.5" customHeight="1" x14ac:dyDescent="0.2">
      <c r="A49" s="14" t="s">
        <v>313</v>
      </c>
      <c r="B49" s="14" t="s">
        <v>314</v>
      </c>
      <c r="C49" s="14" t="s">
        <v>307</v>
      </c>
      <c r="D49" s="14" t="s">
        <v>202</v>
      </c>
      <c r="E49" s="14" t="s">
        <v>314</v>
      </c>
      <c r="F49" s="14" t="s">
        <v>308</v>
      </c>
      <c r="G49" s="14" t="s">
        <v>101</v>
      </c>
      <c r="H49" s="14" t="s">
        <v>315</v>
      </c>
      <c r="I49" s="14" t="s">
        <v>316</v>
      </c>
      <c r="J49" s="14" t="s">
        <v>317</v>
      </c>
    </row>
    <row r="50" spans="1:10" ht="49.5" customHeight="1" x14ac:dyDescent="0.2">
      <c r="A50" s="14" t="s">
        <v>318</v>
      </c>
      <c r="B50" s="14" t="s">
        <v>319</v>
      </c>
      <c r="C50" s="14" t="s">
        <v>307</v>
      </c>
      <c r="D50" s="14" t="s">
        <v>202</v>
      </c>
      <c r="E50" s="14" t="s">
        <v>319</v>
      </c>
      <c r="F50" s="14" t="s">
        <v>308</v>
      </c>
      <c r="G50" s="14" t="s">
        <v>45</v>
      </c>
      <c r="H50" s="14" t="s">
        <v>320</v>
      </c>
      <c r="I50" s="14" t="s">
        <v>321</v>
      </c>
      <c r="J50" s="14" t="s">
        <v>322</v>
      </c>
    </row>
    <row r="51" spans="1:10" ht="49.5" customHeight="1" x14ac:dyDescent="0.2">
      <c r="A51" s="14" t="s">
        <v>323</v>
      </c>
      <c r="B51" s="14" t="s">
        <v>324</v>
      </c>
      <c r="C51" s="14" t="s">
        <v>307</v>
      </c>
      <c r="D51" s="14" t="s">
        <v>202</v>
      </c>
      <c r="E51" s="14" t="s">
        <v>324</v>
      </c>
      <c r="F51" s="14" t="s">
        <v>308</v>
      </c>
      <c r="G51" s="14" t="s">
        <v>45</v>
      </c>
      <c r="H51" s="14" t="s">
        <v>325</v>
      </c>
      <c r="I51" s="14" t="s">
        <v>326</v>
      </c>
      <c r="J51" s="14" t="s">
        <v>327</v>
      </c>
    </row>
    <row r="52" spans="1:10" ht="49.5" customHeight="1" x14ac:dyDescent="0.2">
      <c r="A52" s="15" t="s">
        <v>328</v>
      </c>
      <c r="B52" s="15" t="s">
        <v>329</v>
      </c>
      <c r="C52" s="15" t="s">
        <v>330</v>
      </c>
      <c r="D52" s="15" t="s">
        <v>202</v>
      </c>
      <c r="E52" s="15" t="s">
        <v>329</v>
      </c>
      <c r="F52" s="15" t="s">
        <v>331</v>
      </c>
      <c r="G52" s="15" t="s">
        <v>332</v>
      </c>
      <c r="H52" s="15" t="s">
        <v>266</v>
      </c>
      <c r="I52" s="15" t="s">
        <v>333</v>
      </c>
      <c r="J52" s="15" t="s">
        <v>334</v>
      </c>
    </row>
    <row r="53" spans="1:10" ht="49.5" customHeight="1" x14ac:dyDescent="0.2">
      <c r="A53" s="15" t="s">
        <v>335</v>
      </c>
      <c r="B53" s="15" t="s">
        <v>336</v>
      </c>
      <c r="C53" s="15" t="s">
        <v>330</v>
      </c>
      <c r="D53" s="15" t="s">
        <v>202</v>
      </c>
      <c r="E53" s="15" t="s">
        <v>336</v>
      </c>
      <c r="F53" s="15" t="s">
        <v>331</v>
      </c>
      <c r="G53" s="15" t="s">
        <v>301</v>
      </c>
      <c r="H53" s="15" t="s">
        <v>337</v>
      </c>
      <c r="I53" s="15" t="s">
        <v>338</v>
      </c>
      <c r="J53" s="15" t="s">
        <v>339</v>
      </c>
    </row>
    <row r="54" spans="1:10" ht="49.5" customHeight="1" x14ac:dyDescent="0.2">
      <c r="A54" s="15" t="s">
        <v>340</v>
      </c>
      <c r="B54" s="15" t="s">
        <v>341</v>
      </c>
      <c r="C54" s="15" t="s">
        <v>330</v>
      </c>
      <c r="D54" s="15" t="s">
        <v>202</v>
      </c>
      <c r="E54" s="15" t="s">
        <v>341</v>
      </c>
      <c r="F54" s="15" t="s">
        <v>331</v>
      </c>
      <c r="G54" s="15" t="s">
        <v>289</v>
      </c>
      <c r="H54" s="15" t="s">
        <v>342</v>
      </c>
      <c r="I54" s="15" t="s">
        <v>343</v>
      </c>
      <c r="J54" s="15" t="s">
        <v>344</v>
      </c>
    </row>
  </sheetData>
  <mergeCells count="2">
    <mergeCell ref="A1:J1"/>
    <mergeCell ref="A2:J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5"/>
  <sheetViews>
    <sheetView zoomScale="180" zoomScaleNormal="100" workbookViewId="0">
      <pane ySplit="1" topLeftCell="A41" activePane="bottomLeft" state="frozen"/>
      <selection pane="bottomLeft" activeCell="A2" sqref="A2"/>
    </sheetView>
  </sheetViews>
  <sheetFormatPr baseColWidth="10" defaultColWidth="8.6640625" defaultRowHeight="15" x14ac:dyDescent="0.2"/>
  <cols>
    <col min="1" max="1" width="38" customWidth="1"/>
    <col min="2" max="2" width="17.1640625" bestFit="1" customWidth="1"/>
    <col min="3" max="3" width="19.5" bestFit="1" customWidth="1"/>
    <col min="4" max="4" width="72" customWidth="1"/>
  </cols>
  <sheetData>
    <row r="1" spans="1:4" ht="18" x14ac:dyDescent="0.2">
      <c r="A1" s="27" t="s">
        <v>528</v>
      </c>
      <c r="B1" s="7"/>
      <c r="C1" s="7"/>
      <c r="D1" s="7"/>
    </row>
    <row r="3" spans="1:4" x14ac:dyDescent="0.2">
      <c r="A3" s="5" t="s">
        <v>345</v>
      </c>
      <c r="B3" s="5"/>
      <c r="C3" s="5"/>
      <c r="D3" s="5"/>
    </row>
    <row r="4" spans="1:4" ht="30" x14ac:dyDescent="0.2">
      <c r="A4" s="8"/>
      <c r="B4" s="8" t="s">
        <v>346</v>
      </c>
      <c r="C4" s="8" t="s">
        <v>347</v>
      </c>
      <c r="D4" s="8" t="s">
        <v>348</v>
      </c>
    </row>
    <row r="5" spans="1:4" x14ac:dyDescent="0.2">
      <c r="A5" s="17" t="s">
        <v>349</v>
      </c>
      <c r="B5" s="18">
        <v>26</v>
      </c>
      <c r="C5" s="18">
        <v>8</v>
      </c>
      <c r="D5" s="18">
        <f>B5+C5</f>
        <v>34</v>
      </c>
    </row>
    <row r="6" spans="1:4" x14ac:dyDescent="0.2">
      <c r="A6" s="17" t="s">
        <v>350</v>
      </c>
      <c r="B6" s="18">
        <v>0</v>
      </c>
      <c r="C6" s="18">
        <v>16</v>
      </c>
      <c r="D6" s="18">
        <f>B6+C6</f>
        <v>16</v>
      </c>
    </row>
    <row r="7" spans="1:4" x14ac:dyDescent="0.2">
      <c r="A7" s="17" t="s">
        <v>351</v>
      </c>
      <c r="B7" s="18">
        <f>SUM(B5:B6)</f>
        <v>26</v>
      </c>
      <c r="C7" s="18">
        <f>SUM(C5:C6)</f>
        <v>24</v>
      </c>
      <c r="D7" s="18">
        <f>B7+C7</f>
        <v>50</v>
      </c>
    </row>
    <row r="9" spans="1:4" x14ac:dyDescent="0.2">
      <c r="A9" s="4" t="s">
        <v>352</v>
      </c>
      <c r="B9" s="4"/>
      <c r="C9" s="4"/>
      <c r="D9" s="4"/>
    </row>
    <row r="10" spans="1:4" ht="30" customHeight="1" x14ac:dyDescent="0.2">
      <c r="A10" s="19" t="s">
        <v>353</v>
      </c>
      <c r="B10" s="19" t="s">
        <v>354</v>
      </c>
      <c r="C10" s="19" t="s">
        <v>355</v>
      </c>
      <c r="D10" s="19" t="s">
        <v>356</v>
      </c>
    </row>
    <row r="11" spans="1:4" ht="49.5" customHeight="1" x14ac:dyDescent="0.2">
      <c r="A11" s="20" t="s">
        <v>357</v>
      </c>
      <c r="B11" s="20" t="s">
        <v>358</v>
      </c>
      <c r="C11" s="20" t="s">
        <v>359</v>
      </c>
      <c r="D11" s="20" t="s">
        <v>360</v>
      </c>
    </row>
    <row r="12" spans="1:4" ht="49.5" customHeight="1" x14ac:dyDescent="0.2">
      <c r="A12" s="20" t="s">
        <v>361</v>
      </c>
      <c r="B12" s="20" t="s">
        <v>362</v>
      </c>
      <c r="C12" s="20" t="s">
        <v>363</v>
      </c>
      <c r="D12" s="20" t="s">
        <v>364</v>
      </c>
    </row>
    <row r="13" spans="1:4" ht="49.5" customHeight="1" x14ac:dyDescent="0.2">
      <c r="A13" s="20" t="s">
        <v>365</v>
      </c>
      <c r="B13" s="20" t="s">
        <v>366</v>
      </c>
      <c r="C13" s="20" t="s">
        <v>367</v>
      </c>
      <c r="D13" s="20" t="s">
        <v>368</v>
      </c>
    </row>
    <row r="16" spans="1:4" x14ac:dyDescent="0.2">
      <c r="A16" s="5" t="s">
        <v>369</v>
      </c>
      <c r="B16" s="5"/>
      <c r="C16" s="5"/>
      <c r="D16" s="5"/>
    </row>
    <row r="17" spans="1:4" x14ac:dyDescent="0.2">
      <c r="A17" s="8" t="s">
        <v>3</v>
      </c>
      <c r="B17" s="8" t="s">
        <v>370</v>
      </c>
      <c r="C17" s="8" t="s">
        <v>371</v>
      </c>
      <c r="D17" s="8" t="s">
        <v>372</v>
      </c>
    </row>
    <row r="18" spans="1:4" ht="24" customHeight="1" x14ac:dyDescent="0.2">
      <c r="A18" s="21" t="s">
        <v>13</v>
      </c>
      <c r="B18" s="21">
        <f>COUNTIF('Pilot Personas'!C:C,A18)</f>
        <v>26</v>
      </c>
      <c r="C18" s="22">
        <f t="shared" ref="C18:C24" si="0">B18/B$25</f>
        <v>0.52</v>
      </c>
      <c r="D18" s="21" t="s">
        <v>373</v>
      </c>
    </row>
    <row r="19" spans="1:4" ht="24" customHeight="1" x14ac:dyDescent="0.2">
      <c r="A19" s="21" t="s">
        <v>201</v>
      </c>
      <c r="B19" s="21">
        <f>COUNTIF('Pilot Personas'!C:C,A19)</f>
        <v>4</v>
      </c>
      <c r="C19" s="22">
        <f t="shared" si="0"/>
        <v>0.08</v>
      </c>
      <c r="D19" s="21" t="s">
        <v>374</v>
      </c>
    </row>
    <row r="20" spans="1:4" ht="24" customHeight="1" x14ac:dyDescent="0.2">
      <c r="A20" s="21" t="s">
        <v>226</v>
      </c>
      <c r="B20" s="21">
        <f>COUNTIF('Pilot Personas'!C:C,A20)</f>
        <v>4</v>
      </c>
      <c r="C20" s="22">
        <f t="shared" si="0"/>
        <v>0.08</v>
      </c>
      <c r="D20" s="21" t="s">
        <v>375</v>
      </c>
    </row>
    <row r="21" spans="1:4" ht="24" customHeight="1" x14ac:dyDescent="0.2">
      <c r="A21" s="21" t="s">
        <v>251</v>
      </c>
      <c r="B21" s="21">
        <f>COUNTIF('Pilot Personas'!C:C,A21)</f>
        <v>6</v>
      </c>
      <c r="C21" s="22">
        <f t="shared" si="0"/>
        <v>0.12</v>
      </c>
      <c r="D21" s="21" t="s">
        <v>376</v>
      </c>
    </row>
    <row r="22" spans="1:4" ht="24" customHeight="1" x14ac:dyDescent="0.2">
      <c r="A22" s="21" t="s">
        <v>288</v>
      </c>
      <c r="B22" s="21">
        <f>COUNTIF('Pilot Personas'!C:C,A22)</f>
        <v>3</v>
      </c>
      <c r="C22" s="22">
        <f t="shared" si="0"/>
        <v>0.06</v>
      </c>
      <c r="D22" s="21" t="s">
        <v>377</v>
      </c>
    </row>
    <row r="23" spans="1:4" ht="24" customHeight="1" x14ac:dyDescent="0.2">
      <c r="A23" s="21" t="s">
        <v>307</v>
      </c>
      <c r="B23" s="21">
        <f>COUNTIF('Pilot Personas'!C:C,A23)</f>
        <v>4</v>
      </c>
      <c r="C23" s="22">
        <f t="shared" si="0"/>
        <v>0.08</v>
      </c>
      <c r="D23" s="21" t="s">
        <v>378</v>
      </c>
    </row>
    <row r="24" spans="1:4" ht="24" customHeight="1" x14ac:dyDescent="0.2">
      <c r="A24" s="21" t="s">
        <v>330</v>
      </c>
      <c r="B24" s="21">
        <f>COUNTIF('Pilot Personas'!C:C,A24)</f>
        <v>3</v>
      </c>
      <c r="C24" s="22">
        <f t="shared" si="0"/>
        <v>0.06</v>
      </c>
      <c r="D24" s="21" t="s">
        <v>379</v>
      </c>
    </row>
    <row r="25" spans="1:4" ht="24" customHeight="1" x14ac:dyDescent="0.2">
      <c r="A25" s="23" t="s">
        <v>380</v>
      </c>
      <c r="B25" s="23">
        <f>SUM(B18:B24)</f>
        <v>50</v>
      </c>
      <c r="C25" s="24">
        <f>B25/B25</f>
        <v>1</v>
      </c>
      <c r="D25" s="23"/>
    </row>
    <row r="28" spans="1:4" x14ac:dyDescent="0.2">
      <c r="A28" s="5" t="s">
        <v>381</v>
      </c>
      <c r="B28" s="5"/>
      <c r="C28" s="5"/>
      <c r="D28" s="5"/>
    </row>
    <row r="29" spans="1:4" ht="30" x14ac:dyDescent="0.2">
      <c r="A29" s="8" t="s">
        <v>382</v>
      </c>
      <c r="B29" s="8" t="s">
        <v>383</v>
      </c>
      <c r="C29" s="8" t="s">
        <v>384</v>
      </c>
      <c r="D29" s="8" t="s">
        <v>385</v>
      </c>
    </row>
    <row r="30" spans="1:4" ht="48" customHeight="1" x14ac:dyDescent="0.2">
      <c r="A30" s="20" t="s">
        <v>386</v>
      </c>
      <c r="B30" s="20" t="s">
        <v>387</v>
      </c>
      <c r="C30" s="20" t="s">
        <v>388</v>
      </c>
      <c r="D30" s="20" t="s">
        <v>389</v>
      </c>
    </row>
    <row r="31" spans="1:4" ht="48" customHeight="1" x14ac:dyDescent="0.2">
      <c r="A31" s="20" t="s">
        <v>390</v>
      </c>
      <c r="B31" s="20" t="s">
        <v>391</v>
      </c>
      <c r="C31" s="20" t="s">
        <v>392</v>
      </c>
      <c r="D31" s="20" t="s">
        <v>393</v>
      </c>
    </row>
    <row r="32" spans="1:4" ht="48" customHeight="1" x14ac:dyDescent="0.2">
      <c r="A32" s="20" t="s">
        <v>394</v>
      </c>
      <c r="B32" s="20" t="s">
        <v>395</v>
      </c>
      <c r="C32" s="20" t="s">
        <v>396</v>
      </c>
      <c r="D32" s="20" t="s">
        <v>397</v>
      </c>
    </row>
    <row r="33" spans="1:4" ht="48" customHeight="1" x14ac:dyDescent="0.2">
      <c r="A33" s="20" t="s">
        <v>398</v>
      </c>
      <c r="B33" s="20" t="s">
        <v>399</v>
      </c>
      <c r="C33" s="20" t="s">
        <v>400</v>
      </c>
      <c r="D33" s="20" t="s">
        <v>401</v>
      </c>
    </row>
    <row r="34" spans="1:4" ht="48" customHeight="1" x14ac:dyDescent="0.2">
      <c r="A34" s="20" t="s">
        <v>402</v>
      </c>
      <c r="B34" s="20" t="s">
        <v>403</v>
      </c>
      <c r="C34" s="20" t="s">
        <v>404</v>
      </c>
      <c r="D34" s="20" t="s">
        <v>405</v>
      </c>
    </row>
    <row r="35" spans="1:4" ht="48" customHeight="1" x14ac:dyDescent="0.2">
      <c r="A35" s="20" t="s">
        <v>406</v>
      </c>
      <c r="B35" s="20" t="s">
        <v>407</v>
      </c>
      <c r="C35" s="20" t="s">
        <v>408</v>
      </c>
      <c r="D35" s="20" t="s">
        <v>409</v>
      </c>
    </row>
    <row r="36" spans="1:4" ht="48" customHeight="1" x14ac:dyDescent="0.2">
      <c r="A36" s="20" t="s">
        <v>410</v>
      </c>
      <c r="B36" s="20" t="s">
        <v>411</v>
      </c>
      <c r="C36" s="20" t="s">
        <v>412</v>
      </c>
      <c r="D36" s="20" t="s">
        <v>413</v>
      </c>
    </row>
    <row r="37" spans="1:4" ht="48" customHeight="1" x14ac:dyDescent="0.2">
      <c r="A37" s="20" t="s">
        <v>414</v>
      </c>
      <c r="B37" s="20" t="s">
        <v>415</v>
      </c>
      <c r="C37" s="20" t="s">
        <v>416</v>
      </c>
      <c r="D37" s="20" t="s">
        <v>417</v>
      </c>
    </row>
    <row r="38" spans="1:4" ht="48" customHeight="1" x14ac:dyDescent="0.2">
      <c r="A38" s="20" t="s">
        <v>418</v>
      </c>
      <c r="B38" s="20" t="s">
        <v>419</v>
      </c>
      <c r="C38" s="20" t="s">
        <v>420</v>
      </c>
      <c r="D38" s="20" t="s">
        <v>421</v>
      </c>
    </row>
    <row r="39" spans="1:4" ht="48" customHeight="1" x14ac:dyDescent="0.2">
      <c r="A39" s="20" t="s">
        <v>422</v>
      </c>
      <c r="B39" s="20" t="s">
        <v>423</v>
      </c>
      <c r="C39" s="20" t="s">
        <v>424</v>
      </c>
      <c r="D39" s="20" t="s">
        <v>425</v>
      </c>
    </row>
    <row r="40" spans="1:4" ht="48" customHeight="1" x14ac:dyDescent="0.2">
      <c r="A40" s="20" t="s">
        <v>426</v>
      </c>
      <c r="B40" s="20" t="s">
        <v>427</v>
      </c>
      <c r="C40" s="20" t="s">
        <v>428</v>
      </c>
      <c r="D40" s="20" t="s">
        <v>429</v>
      </c>
    </row>
    <row r="41" spans="1:4" ht="48" customHeight="1" x14ac:dyDescent="0.2">
      <c r="A41" s="20" t="s">
        <v>430</v>
      </c>
      <c r="B41" s="20" t="s">
        <v>431</v>
      </c>
      <c r="C41" s="20" t="s">
        <v>432</v>
      </c>
      <c r="D41" s="20" t="s">
        <v>433</v>
      </c>
    </row>
    <row r="42" spans="1:4" ht="48" customHeight="1" x14ac:dyDescent="0.2">
      <c r="A42" s="20" t="s">
        <v>434</v>
      </c>
      <c r="B42" s="20" t="s">
        <v>435</v>
      </c>
      <c r="C42" s="20" t="s">
        <v>436</v>
      </c>
      <c r="D42" s="20" t="s">
        <v>437</v>
      </c>
    </row>
    <row r="43" spans="1:4" ht="48" customHeight="1" x14ac:dyDescent="0.2">
      <c r="A43" s="20" t="s">
        <v>438</v>
      </c>
      <c r="B43" s="20" t="s">
        <v>439</v>
      </c>
      <c r="C43" s="20" t="s">
        <v>440</v>
      </c>
      <c r="D43" s="20" t="s">
        <v>441</v>
      </c>
    </row>
    <row r="44" spans="1:4" ht="48" customHeight="1" x14ac:dyDescent="0.2">
      <c r="A44" s="20" t="s">
        <v>442</v>
      </c>
      <c r="B44" s="20" t="s">
        <v>443</v>
      </c>
      <c r="C44" s="20" t="s">
        <v>444</v>
      </c>
      <c r="D44" s="20" t="s">
        <v>445</v>
      </c>
    </row>
    <row r="45" spans="1:4" ht="48" customHeight="1" x14ac:dyDescent="0.2">
      <c r="A45" s="20" t="s">
        <v>446</v>
      </c>
      <c r="B45" s="20" t="s">
        <v>447</v>
      </c>
      <c r="C45" s="20" t="s">
        <v>448</v>
      </c>
      <c r="D45" s="20" t="s">
        <v>449</v>
      </c>
    </row>
  </sheetData>
  <mergeCells count="5">
    <mergeCell ref="A1:D1"/>
    <mergeCell ref="A3:D3"/>
    <mergeCell ref="A9:D9"/>
    <mergeCell ref="A16:D16"/>
    <mergeCell ref="A28:D2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
  <sheetViews>
    <sheetView zoomScaleNormal="100" workbookViewId="0">
      <selection activeCell="A23" sqref="A23:B23"/>
    </sheetView>
  </sheetViews>
  <sheetFormatPr baseColWidth="10" defaultColWidth="8.6640625" defaultRowHeight="15" x14ac:dyDescent="0.2"/>
  <cols>
    <col min="1" max="1" width="32" customWidth="1"/>
    <col min="2" max="2" width="80" customWidth="1"/>
  </cols>
  <sheetData>
    <row r="1" spans="1:2" ht="18" x14ac:dyDescent="0.2">
      <c r="A1" s="7" t="s">
        <v>450</v>
      </c>
      <c r="B1" s="7"/>
    </row>
    <row r="2" spans="1:2" ht="36" customHeight="1" x14ac:dyDescent="0.2">
      <c r="A2" s="3" t="s">
        <v>451</v>
      </c>
      <c r="B2" s="3"/>
    </row>
    <row r="4" spans="1:2" x14ac:dyDescent="0.2">
      <c r="A4" s="8" t="s">
        <v>452</v>
      </c>
      <c r="B4" s="8" t="s">
        <v>453</v>
      </c>
    </row>
    <row r="5" spans="1:2" x14ac:dyDescent="0.2">
      <c r="A5" s="25" t="s">
        <v>454</v>
      </c>
      <c r="B5" s="25"/>
    </row>
    <row r="6" spans="1:2" x14ac:dyDescent="0.2">
      <c r="A6" s="20" t="s">
        <v>455</v>
      </c>
      <c r="B6" s="20" t="s">
        <v>456</v>
      </c>
    </row>
    <row r="7" spans="1:2" x14ac:dyDescent="0.2">
      <c r="A7" s="20" t="s">
        <v>457</v>
      </c>
      <c r="B7" s="20" t="s">
        <v>458</v>
      </c>
    </row>
    <row r="8" spans="1:2" x14ac:dyDescent="0.2">
      <c r="A8" s="20" t="s">
        <v>459</v>
      </c>
      <c r="B8" s="20" t="s">
        <v>460</v>
      </c>
    </row>
    <row r="9" spans="1:2" x14ac:dyDescent="0.2">
      <c r="A9" s="20" t="s">
        <v>461</v>
      </c>
      <c r="B9" s="20" t="s">
        <v>462</v>
      </c>
    </row>
    <row r="10" spans="1:2" x14ac:dyDescent="0.2">
      <c r="A10" s="20" t="s">
        <v>463</v>
      </c>
      <c r="B10" s="20" t="s">
        <v>464</v>
      </c>
    </row>
    <row r="11" spans="1:2" x14ac:dyDescent="0.2">
      <c r="A11" s="20" t="s">
        <v>465</v>
      </c>
      <c r="B11" s="20" t="s">
        <v>466</v>
      </c>
    </row>
    <row r="12" spans="1:2" x14ac:dyDescent="0.2">
      <c r="A12" s="20"/>
      <c r="B12" s="20"/>
    </row>
    <row r="13" spans="1:2" x14ac:dyDescent="0.2">
      <c r="A13" s="25" t="s">
        <v>467</v>
      </c>
      <c r="B13" s="25"/>
    </row>
    <row r="14" spans="1:2" x14ac:dyDescent="0.2">
      <c r="A14" s="20" t="s">
        <v>455</v>
      </c>
      <c r="B14" s="20" t="s">
        <v>468</v>
      </c>
    </row>
    <row r="15" spans="1:2" x14ac:dyDescent="0.2">
      <c r="A15" s="20" t="s">
        <v>457</v>
      </c>
      <c r="B15" s="20" t="s">
        <v>469</v>
      </c>
    </row>
    <row r="16" spans="1:2" x14ac:dyDescent="0.2">
      <c r="A16" s="20" t="s">
        <v>459</v>
      </c>
      <c r="B16" s="20" t="s">
        <v>470</v>
      </c>
    </row>
    <row r="17" spans="1:2" x14ac:dyDescent="0.2">
      <c r="A17" s="20" t="s">
        <v>461</v>
      </c>
      <c r="B17" s="20" t="s">
        <v>471</v>
      </c>
    </row>
    <row r="18" spans="1:2" x14ac:dyDescent="0.2">
      <c r="A18" s="20" t="s">
        <v>463</v>
      </c>
      <c r="B18" s="20" t="s">
        <v>472</v>
      </c>
    </row>
    <row r="19" spans="1:2" x14ac:dyDescent="0.2">
      <c r="A19" s="20" t="s">
        <v>465</v>
      </c>
      <c r="B19" s="20" t="s">
        <v>473</v>
      </c>
    </row>
    <row r="22" spans="1:2" x14ac:dyDescent="0.2">
      <c r="A22" s="5" t="s">
        <v>474</v>
      </c>
      <c r="B22" s="5"/>
    </row>
    <row r="23" spans="1:2" ht="219.75" customHeight="1" x14ac:dyDescent="0.2">
      <c r="A23" s="2" t="s">
        <v>475</v>
      </c>
      <c r="B23" s="2"/>
    </row>
  </sheetData>
  <mergeCells count="4">
    <mergeCell ref="A1:B1"/>
    <mergeCell ref="A2:B2"/>
    <mergeCell ref="A22:B22"/>
    <mergeCell ref="A23:B2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8"/>
  <sheetViews>
    <sheetView zoomScaleNormal="100" workbookViewId="0">
      <selection sqref="A1:B1"/>
    </sheetView>
  </sheetViews>
  <sheetFormatPr baseColWidth="10" defaultColWidth="8.6640625" defaultRowHeight="15" x14ac:dyDescent="0.2"/>
  <cols>
    <col min="1" max="2" width="28" customWidth="1"/>
  </cols>
  <sheetData>
    <row r="1" spans="1:2" ht="18" x14ac:dyDescent="0.2">
      <c r="A1" s="7" t="s">
        <v>476</v>
      </c>
      <c r="B1" s="7"/>
    </row>
    <row r="2" spans="1:2" x14ac:dyDescent="0.2">
      <c r="A2" s="1" t="s">
        <v>477</v>
      </c>
      <c r="B2" s="1"/>
    </row>
    <row r="4" spans="1:2" x14ac:dyDescent="0.2">
      <c r="A4" s="16" t="s">
        <v>478</v>
      </c>
      <c r="B4" s="16" t="s">
        <v>479</v>
      </c>
    </row>
    <row r="5" spans="1:2" x14ac:dyDescent="0.2">
      <c r="A5" s="26" t="s">
        <v>480</v>
      </c>
      <c r="B5" s="26" t="s">
        <v>481</v>
      </c>
    </row>
    <row r="6" spans="1:2" x14ac:dyDescent="0.2">
      <c r="A6" s="26" t="s">
        <v>482</v>
      </c>
      <c r="B6" s="26" t="s">
        <v>483</v>
      </c>
    </row>
    <row r="7" spans="1:2" x14ac:dyDescent="0.2">
      <c r="A7" s="26" t="s">
        <v>484</v>
      </c>
      <c r="B7" s="26" t="s">
        <v>485</v>
      </c>
    </row>
    <row r="8" spans="1:2" x14ac:dyDescent="0.2">
      <c r="A8" s="26" t="s">
        <v>486</v>
      </c>
      <c r="B8" s="26" t="s">
        <v>487</v>
      </c>
    </row>
    <row r="9" spans="1:2" x14ac:dyDescent="0.2">
      <c r="A9" s="26" t="s">
        <v>488</v>
      </c>
      <c r="B9" s="26" t="s">
        <v>489</v>
      </c>
    </row>
    <row r="10" spans="1:2" x14ac:dyDescent="0.2">
      <c r="A10" s="26" t="s">
        <v>490</v>
      </c>
      <c r="B10" s="26" t="s">
        <v>491</v>
      </c>
    </row>
    <row r="11" spans="1:2" x14ac:dyDescent="0.2">
      <c r="A11" s="26" t="s">
        <v>492</v>
      </c>
      <c r="B11" s="26" t="s">
        <v>493</v>
      </c>
    </row>
    <row r="12" spans="1:2" x14ac:dyDescent="0.2">
      <c r="A12" s="26" t="s">
        <v>494</v>
      </c>
      <c r="B12" s="26" t="s">
        <v>495</v>
      </c>
    </row>
    <row r="13" spans="1:2" x14ac:dyDescent="0.2">
      <c r="A13" s="26" t="s">
        <v>496</v>
      </c>
      <c r="B13" s="26" t="s">
        <v>497</v>
      </c>
    </row>
    <row r="14" spans="1:2" x14ac:dyDescent="0.2">
      <c r="A14" s="26" t="s">
        <v>498</v>
      </c>
      <c r="B14" s="26" t="s">
        <v>499</v>
      </c>
    </row>
    <row r="15" spans="1:2" x14ac:dyDescent="0.2">
      <c r="A15" s="26" t="s">
        <v>500</v>
      </c>
      <c r="B15" s="26" t="s">
        <v>501</v>
      </c>
    </row>
    <row r="16" spans="1:2" x14ac:dyDescent="0.2">
      <c r="A16" s="26" t="s">
        <v>502</v>
      </c>
      <c r="B16" s="26" t="s">
        <v>503</v>
      </c>
    </row>
    <row r="17" spans="1:2" x14ac:dyDescent="0.2">
      <c r="A17" s="26" t="s">
        <v>504</v>
      </c>
      <c r="B17" s="26" t="s">
        <v>505</v>
      </c>
    </row>
    <row r="18" spans="1:2" x14ac:dyDescent="0.2">
      <c r="A18" s="26" t="s">
        <v>506</v>
      </c>
      <c r="B18" s="26" t="s">
        <v>507</v>
      </c>
    </row>
    <row r="19" spans="1:2" x14ac:dyDescent="0.2">
      <c r="A19" s="26" t="s">
        <v>508</v>
      </c>
      <c r="B19" s="26" t="s">
        <v>509</v>
      </c>
    </row>
    <row r="20" spans="1:2" x14ac:dyDescent="0.2">
      <c r="A20" s="26" t="s">
        <v>510</v>
      </c>
      <c r="B20" s="26" t="s">
        <v>511</v>
      </c>
    </row>
    <row r="21" spans="1:2" x14ac:dyDescent="0.2">
      <c r="A21" s="26" t="s">
        <v>512</v>
      </c>
      <c r="B21" s="26" t="s">
        <v>513</v>
      </c>
    </row>
    <row r="22" spans="1:2" x14ac:dyDescent="0.2">
      <c r="A22" s="26" t="s">
        <v>514</v>
      </c>
      <c r="B22" s="26" t="s">
        <v>515</v>
      </c>
    </row>
    <row r="23" spans="1:2" x14ac:dyDescent="0.2">
      <c r="A23" s="26" t="s">
        <v>516</v>
      </c>
      <c r="B23" s="26" t="s">
        <v>517</v>
      </c>
    </row>
    <row r="24" spans="1:2" x14ac:dyDescent="0.2">
      <c r="A24" s="26" t="s">
        <v>518</v>
      </c>
      <c r="B24" s="26" t="s">
        <v>519</v>
      </c>
    </row>
    <row r="25" spans="1:2" x14ac:dyDescent="0.2">
      <c r="A25" s="26" t="s">
        <v>520</v>
      </c>
      <c r="B25" s="26" t="s">
        <v>521</v>
      </c>
    </row>
    <row r="26" spans="1:2" x14ac:dyDescent="0.2">
      <c r="A26" s="26" t="s">
        <v>522</v>
      </c>
      <c r="B26" s="26" t="s">
        <v>523</v>
      </c>
    </row>
    <row r="27" spans="1:2" x14ac:dyDescent="0.2">
      <c r="A27" s="26" t="s">
        <v>524</v>
      </c>
      <c r="B27" s="26" t="s">
        <v>525</v>
      </c>
    </row>
    <row r="28" spans="1:2" x14ac:dyDescent="0.2">
      <c r="A28" s="26" t="s">
        <v>526</v>
      </c>
      <c r="B28" s="26" t="s">
        <v>527</v>
      </c>
    </row>
  </sheetData>
  <mergeCells count="2">
    <mergeCell ref="A1:B1"/>
    <mergeCell ref="A2:B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Pilot Personas</vt:lpstr>
      <vt:lpstr>Structure &amp; Contrasts</vt:lpstr>
      <vt:lpstr>Prompt Style Notes</vt:lpstr>
      <vt:lpstr>WebOrganizer 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Matlin, Glenn S</cp:lastModifiedBy>
  <cp:revision>0</cp:revision>
  <dcterms:created xsi:type="dcterms:W3CDTF">2026-04-18T22:03:15Z</dcterms:created>
  <dcterms:modified xsi:type="dcterms:W3CDTF">2026-04-20T16:44:32Z</dcterms:modified>
  <dc:language>en-US</dc:language>
</cp:coreProperties>
</file>